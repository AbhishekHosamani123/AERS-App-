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16-Week Map" sheetId="2" state="visible" r:id="rId4"/>
    <sheet name="Deliverable Register" sheetId="3" state="visible" r:id="rId5"/>
    <sheet name="Developer Matrix" sheetId="4" state="visible" r:id="rId6"/>
    <sheet name="Controls" sheetId="5" state="visible" r:id="rId7"/>
    <sheet name="Audit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<sst xmlns="http://schemas.openxmlformats.org/spreadsheetml/2006/main" count="567" uniqueCount="407">
  <si>
    <t xml:space="preserve">AERS TRANSFORM v2.0  |  16-WEEK MASTER CONTROL</t>
  </si>
  <si>
    <t xml:space="preserve">Current regenerated content, developer handover and launch-readiness view  |  As of 17 September 2026</t>
  </si>
  <si>
    <t xml:space="preserve">Programme KPI</t>
  </si>
  <si>
    <t xml:space="preserve">Current value</t>
  </si>
  <si>
    <t xml:space="preserve">Control Gate</t>
  </si>
  <si>
    <t xml:space="preserve">Owner</t>
  </si>
  <si>
    <t xml:space="preserve">Status</t>
  </si>
  <si>
    <t xml:space="preserve">Programme weeks</t>
  </si>
  <si>
    <t xml:space="preserve">Weeks 1–2 source alignment</t>
  </si>
  <si>
    <t xml:space="preserve">Programme Owner</t>
  </si>
  <si>
    <t xml:space="preserve">Open</t>
  </si>
  <si>
    <t xml:space="preserve">Capability modules</t>
  </si>
  <si>
    <t xml:space="preserve">Modules 1–6 file lock</t>
  </si>
  <si>
    <t xml:space="preserve">Content Owner</t>
  </si>
  <si>
    <t xml:space="preserve">Passed</t>
  </si>
  <si>
    <t xml:space="preserve">Regenerated module masters</t>
  </si>
  <si>
    <t xml:space="preserve">Week 15 demonstration pack</t>
  </si>
  <si>
    <t xml:space="preserve">Assessment Lead</t>
  </si>
  <si>
    <t xml:space="preserve">Final-stage packs</t>
  </si>
  <si>
    <t xml:space="preserve">Week 16 closure pack</t>
  </si>
  <si>
    <t xml:space="preserve">Current controlled files</t>
  </si>
  <si>
    <t xml:space="preserve">Developer ingestion mapping</t>
  </si>
  <si>
    <t xml:space="preserve">Product / Developer</t>
  </si>
  <si>
    <t xml:space="preserve">Weeks cleared as current</t>
  </si>
  <si>
    <t xml:space="preserve">Platform workflow UAT</t>
  </si>
  <si>
    <t xml:space="preserve">QA Lead</t>
  </si>
  <si>
    <t xml:space="preserve">Weeks needing alignment review</t>
  </si>
  <si>
    <t xml:space="preserve">ERI method approval</t>
  </si>
  <si>
    <t xml:space="preserve">Authorised AERS Reviewer</t>
  </si>
  <si>
    <t xml:space="preserve">Overall content-control status</t>
  </si>
  <si>
    <t xml:space="preserve">Passport release UAT</t>
  </si>
  <si>
    <t xml:space="preserve">Programme Owner / QA</t>
  </si>
  <si>
    <t xml:space="preserve">GO / NO-GO PRINCIPLE</t>
  </si>
  <si>
    <t xml:space="preserve">Content regeneration is complete for Modules 1–6 and Weeks 15–16. The programme must not be declared platform-launch ready until Weeks 1–2 are aligned, every file is ingested and QA-tested, human-review permissions work, and the ERI/Passport approval rules are formally authorised.</t>
  </si>
  <si>
    <t xml:space="preserve">AERS TRANSFORM v2.0  |  APPROVED 16-WEEK IMPLEMENTATION MAP</t>
  </si>
  <si>
    <t xml:space="preserve">Weeks 1–2 assess and personalise  |  Weeks 3–14 six sequential modules  |  Week 15 demonstrate  |  Week 16 decide and progress</t>
  </si>
  <si>
    <t xml:space="preserve">Week</t>
  </si>
  <si>
    <t xml:space="preserve">Phase / Module</t>
  </si>
  <si>
    <t xml:space="preserve">Weekly focus</t>
  </si>
  <si>
    <t xml:space="preserve">Platform learning</t>
  </si>
  <si>
    <t xml:space="preserve">Guided session</t>
  </si>
  <si>
    <t xml:space="preserve">Mandatory evidence / output</t>
  </si>
  <si>
    <t xml:space="preserve">Quiz gate</t>
  </si>
  <si>
    <t xml:space="preserve">Human-review gate</t>
  </si>
  <si>
    <t xml:space="preserve">Progression decision</t>
  </si>
  <si>
    <t xml:space="preserve">Primary controlled file</t>
  </si>
  <si>
    <t xml:space="preserve">Developer action</t>
  </si>
  <si>
    <t xml:space="preserve">File control status</t>
  </si>
  <si>
    <t xml:space="preserve">Assess and Personalise</t>
  </si>
  <si>
    <t xml:space="preserve">Orientation, profile, consent and baseline assessment</t>
  </si>
  <si>
    <t xml:space="preserve">Onboarding, responsible use and baseline instruments</t>
  </si>
  <si>
    <t xml:space="preserve">Orientation and platform walkthrough</t>
  </si>
  <si>
    <t xml:space="preserve">Consent, learner profile and baseline record</t>
  </si>
  <si>
    <t xml:space="preserve">As applicable</t>
  </si>
  <si>
    <t xml:space="preserve">Human check for consent, completeness and exceptions</t>
  </si>
  <si>
    <t xml:space="preserve">Baseline completed or action required</t>
  </si>
  <si>
    <t xml:space="preserve">Existing Week 1 pack to reconcile</t>
  </si>
  <si>
    <t xml:space="preserve">Configure onboarding, consent, roles and baseline workflow</t>
  </si>
  <si>
    <t xml:space="preserve">Alignment Review</t>
  </si>
  <si>
    <t xml:space="preserve">Baseline interpretation and personalised pathway</t>
  </si>
  <si>
    <t xml:space="preserve">Results explanation, self-awareness and priority selection</t>
  </si>
  <si>
    <t xml:space="preserve">Results and goal-setting session</t>
  </si>
  <si>
    <t xml:space="preserve">Approved personalised pathway and priority record</t>
  </si>
  <si>
    <t xml:space="preserve">Human approval of pathway and exceptions</t>
  </si>
  <si>
    <t xml:space="preserve">Pathway approved or action required</t>
  </si>
  <si>
    <t xml:space="preserve">Existing Week 2 pack to reconcile</t>
  </si>
  <si>
    <t xml:space="preserve">Configure pathway, priorities and learner acknowledgement</t>
  </si>
  <si>
    <t xml:space="preserve">Module 1 Career Clarity</t>
  </si>
  <si>
    <t xml:space="preserve">Career Clarity I</t>
  </si>
  <si>
    <t xml:space="preserve">Lessons 1–2, notes, quiz and practice</t>
  </si>
  <si>
    <t xml:space="preserve">60-minute exploration and mapping session</t>
  </si>
  <si>
    <t xml:space="preserve">Career research, interest and strength evidence</t>
  </si>
  <si>
    <t xml:space="preserve">60%</t>
  </si>
  <si>
    <t xml:space="preserve">Each compulsory evidence item 6/10</t>
  </si>
  <si>
    <t xml:space="preserve">Module active</t>
  </si>
  <si>
    <t xml:space="preserve">AERS_Transform_Module_1_Career_Clarity_Content_Master_v2.0.docx</t>
  </si>
  <si>
    <t xml:space="preserve">Release Module 1 learning, quiz, evidence and review workflow</t>
  </si>
  <si>
    <t xml:space="preserve">Current and Verified</t>
  </si>
  <si>
    <t xml:space="preserve">Career Clarity II and module closure</t>
  </si>
  <si>
    <t xml:space="preserve">Lessons 3–4, action planning and evidence revision</t>
  </si>
  <si>
    <t xml:space="preserve">60-minute evidence review and closure session</t>
  </si>
  <si>
    <t xml:space="preserve">Verified Career Direction Plan and portfolio</t>
  </si>
  <si>
    <t xml:space="preserve">Each compulsory evidence item 6/10; revisions complete</t>
  </si>
  <si>
    <t xml:space="preserve">Verified / conditional action / intervention</t>
  </si>
  <si>
    <t xml:space="preserve">Apply module-close decision and unlock rules</t>
  </si>
  <si>
    <t xml:space="preserve">Module 2 Resume Readiness</t>
  </si>
  <si>
    <t xml:space="preserve">Résumé Readiness I</t>
  </si>
  <si>
    <t xml:space="preserve">Lessons 1–2, evidence inventory and résumé draft</t>
  </si>
  <si>
    <t xml:space="preserve">60-minute résumé workshop</t>
  </si>
  <si>
    <t xml:space="preserve">Résumé Version 1 and claim-to-evidence map</t>
  </si>
  <si>
    <t xml:space="preserve">AERS_Transform_Module_2_Resume_Readiness_Content_Master_v2.0.docx</t>
  </si>
  <si>
    <t xml:space="preserve">Release Module 2 after Module 1 close</t>
  </si>
  <si>
    <t xml:space="preserve">Résumé Readiness II and module closure</t>
  </si>
  <si>
    <t xml:space="preserve">Lessons 3–4, profile and revision</t>
  </si>
  <si>
    <t xml:space="preserve">60-minute review and correction clinic</t>
  </si>
  <si>
    <t xml:space="preserve">Verified Résumé Portfolio Version 2</t>
  </si>
  <si>
    <t xml:space="preserve">Store versions and verified résumé status</t>
  </si>
  <si>
    <t xml:space="preserve">Module 3 Communication</t>
  </si>
  <si>
    <t xml:space="preserve">Communication Readiness I</t>
  </si>
  <si>
    <t xml:space="preserve">Lessons 1–2, introduction, speaking and listening</t>
  </si>
  <si>
    <t xml:space="preserve">60-minute speaking and listening session</t>
  </si>
  <si>
    <t xml:space="preserve">Introduction recording and workplace response</t>
  </si>
  <si>
    <t xml:space="preserve">AERS_Transform_Module_3_Communication_Readiness_Content_Master_v2.0.docx</t>
  </si>
  <si>
    <t xml:space="preserve">Enable recording, evidence and rubric workflow</t>
  </si>
  <si>
    <t xml:space="preserve">Communication Readiness II and module closure</t>
  </si>
  <si>
    <t xml:space="preserve">Lessons 3–4, channels, discussion and presentation</t>
  </si>
  <si>
    <t xml:space="preserve">60-minute presentation and evidence review</t>
  </si>
  <si>
    <t xml:space="preserve">Verified Communication Evidence Portfolio Version 2</t>
  </si>
  <si>
    <t xml:space="preserve">Close module and preserve reviewed evidence</t>
  </si>
  <si>
    <t xml:space="preserve">Module 4 Aptitude</t>
  </si>
  <si>
    <t xml:space="preserve">Aptitude Readiness I</t>
  </si>
  <si>
    <t xml:space="preserve">Diagnostic, methods and practice</t>
  </si>
  <si>
    <t xml:space="preserve">60-minute diagnostic and error-review session</t>
  </si>
  <si>
    <t xml:space="preserve">Diagnostic record, worked methods and error log</t>
  </si>
  <si>
    <t xml:space="preserve">AERS_Transform_Module_4_Aptitude_Readiness_Content_Master_v2.0.docx</t>
  </si>
  <si>
    <t xml:space="preserve">Configure timed work, attempts and evidence</t>
  </si>
  <si>
    <t xml:space="preserve">Aptitude Readiness II and module closure</t>
  </si>
  <si>
    <t xml:space="preserve">Practice, reasoning and improvement verification</t>
  </si>
  <si>
    <t xml:space="preserve">60-minute problem-solving review</t>
  </si>
  <si>
    <t xml:space="preserve">Verified Aptitude Evidence Portfolio Version 2</t>
  </si>
  <si>
    <t xml:space="preserve">Store attempt history and human verification</t>
  </si>
  <si>
    <t xml:space="preserve">Module 5 Workplace Readiness</t>
  </si>
  <si>
    <t xml:space="preserve">Workplace Readiness I</t>
  </si>
  <si>
    <t xml:space="preserve">Professional behaviour, communication and scenarios</t>
  </si>
  <si>
    <t xml:space="preserve">60-minute scenario-practice session</t>
  </si>
  <si>
    <t xml:space="preserve">Professional email or scenario-response evidence</t>
  </si>
  <si>
    <t xml:space="preserve">AERS_Transform_Module_5_Workplace_Readiness_Content_Master_v2.0.docx</t>
  </si>
  <si>
    <t xml:space="preserve">Enable scenario submission and review</t>
  </si>
  <si>
    <t xml:space="preserve">Workplace Readiness II and module closure</t>
  </si>
  <si>
    <t xml:space="preserve">Teamwork, ownership, judgement and action planning</t>
  </si>
  <si>
    <t xml:space="preserve">60-minute evidence review and closure</t>
  </si>
  <si>
    <t xml:space="preserve">Verified Workplace Readiness Portfolio Version 2</t>
  </si>
  <si>
    <t xml:space="preserve">Apply human close decision and audit trail</t>
  </si>
  <si>
    <t xml:space="preserve">Module 6 Interview Readiness</t>
  </si>
  <si>
    <t xml:space="preserve">Interview Readiness I</t>
  </si>
  <si>
    <t xml:space="preserve">Preparation, résumé discussion, HR and behavioural answers</t>
  </si>
  <si>
    <t xml:space="preserve">60-minute preparation and answer-practice session</t>
  </si>
  <si>
    <t xml:space="preserve">Research sheet, STAR bank and response recording</t>
  </si>
  <si>
    <t xml:space="preserve">AERS_Transform_Module_6_Interview_Readiness_Content_Master_v2.0.docx</t>
  </si>
  <si>
    <t xml:space="preserve">Enable recording, preparation and reviewer tools</t>
  </si>
  <si>
    <t xml:space="preserve">Interview Readiness II and module closure</t>
  </si>
  <si>
    <t xml:space="preserve">Role-specific reasoning and human-led mock interview</t>
  </si>
  <si>
    <t xml:space="preserve">60-minute mock interview and feedback session</t>
  </si>
  <si>
    <t xml:space="preserve">Verified Interview Readiness Portfolio Version 2</t>
  </si>
  <si>
    <t xml:space="preserve">Capture human mock-interview decision and correction</t>
  </si>
  <si>
    <t xml:space="preserve">Demonstrate</t>
  </si>
  <si>
    <t xml:space="preserve">Final demonstration and targeted reassessment</t>
  </si>
  <si>
    <t xml:space="preserve">Evidence consolidation and final preparation</t>
  </si>
  <si>
    <t xml:space="preserve">Panel interview and employer simulation</t>
  </si>
  <si>
    <t xml:space="preserve">Final interview rubric, panel notes, simulation, reflection and reassessment record</t>
  </si>
  <si>
    <t xml:space="preserve">No new module quiz</t>
  </si>
  <si>
    <t xml:space="preserve">Human panel, moderation and comparable reassessment</t>
  </si>
  <si>
    <t xml:space="preserve">Complete / continuing development / re-attempt / hold</t>
  </si>
  <si>
    <t xml:space="preserve">AERS_Transform_Week_15_Final_Demonstration_and_Reassessment_Pack_v2.0.docx</t>
  </si>
  <si>
    <t xml:space="preserve">Configure eligibility, panel, moderation and Week 16 handover</t>
  </si>
  <si>
    <t xml:space="preserve">Decide and Progress</t>
  </si>
  <si>
    <t xml:space="preserve">Final ERI, Passport and progression</t>
  </si>
  <si>
    <t xml:space="preserve">ERI interpretation, Passport validation and portfolio closure</t>
  </si>
  <si>
    <t xml:space="preserve">Final evidence conference and planning</t>
  </si>
  <si>
    <t xml:space="preserve">Approved ERI Profile, Passport, portfolio and 30/60/90-day plan</t>
  </si>
  <si>
    <t xml:space="preserve">Not applicable</t>
  </si>
  <si>
    <t xml:space="preserve">Authorised reviewer approval mandatory</t>
  </si>
  <si>
    <t xml:space="preserve">Completed / continuing development / conditional / hold</t>
  </si>
  <si>
    <t xml:space="preserve">AERS_Transform_Week_16_Final_ERI_Employability_Passport_and_Progression_Plan_Pack_v2.0.docx</t>
  </si>
  <si>
    <t xml:space="preserve">Generate draft only; human approval before Passport release</t>
  </si>
  <si>
    <t xml:space="preserve">AERS TRANSFORM v2.0  |  CONTROLLED DELIVERABLE REGISTER</t>
  </si>
  <si>
    <t xml:space="preserve">One current source per deliverable  |  Older versions remain archive-only and must not be published</t>
  </si>
  <si>
    <t xml:space="preserve">ID</t>
  </si>
  <si>
    <t xml:space="preserve">Category</t>
  </si>
  <si>
    <t xml:space="preserve">Weeks</t>
  </si>
  <si>
    <t xml:space="preserve">Deliverable</t>
  </si>
  <si>
    <t xml:space="preserve">Current filename</t>
  </si>
  <si>
    <t xml:space="preserve">Content scope</t>
  </si>
  <si>
    <t xml:space="preserve">Control status</t>
  </si>
  <si>
    <t xml:space="preserve">Developer use</t>
  </si>
  <si>
    <t xml:space="preserve">Next action</t>
  </si>
  <si>
    <t xml:space="preserve">D01</t>
  </si>
  <si>
    <t xml:space="preserve">Foundation</t>
  </si>
  <si>
    <t xml:space="preserve">1</t>
  </si>
  <si>
    <t xml:space="preserve">Week 1 onboarding, consent and baseline pack</t>
  </si>
  <si>
    <t xml:space="preserve">Existing source to identify and align</t>
  </si>
  <si>
    <t xml:space="preserve">Onboarding, consent, learner profile and baseline</t>
  </si>
  <si>
    <t xml:space="preserve">Onboarding and baseline configuration</t>
  </si>
  <si>
    <t xml:space="preserve">Confirm current source and issue v2.0</t>
  </si>
  <si>
    <t xml:space="preserve">D02</t>
  </si>
  <si>
    <t xml:space="preserve">2</t>
  </si>
  <si>
    <t xml:space="preserve">Week 2 results and personalised pathway pack</t>
  </si>
  <si>
    <t xml:space="preserve">Baseline interpretation, priorities and pathway approval</t>
  </si>
  <si>
    <t xml:space="preserve">Personalisation and pathway configuration</t>
  </si>
  <si>
    <t xml:space="preserve">D03</t>
  </si>
  <si>
    <t xml:space="preserve">Module Master</t>
  </si>
  <si>
    <t xml:space="preserve">3–4</t>
  </si>
  <si>
    <t xml:space="preserve">Bilingual scripts, notes, quizzes, activities, evidence, review and plan</t>
  </si>
  <si>
    <t xml:space="preserve">Regenerated and Verified</t>
  </si>
  <si>
    <t xml:space="preserve">Content ingestion and module gate</t>
  </si>
  <si>
    <t xml:space="preserve">Lock checksum and map content objects</t>
  </si>
  <si>
    <t xml:space="preserve">D04</t>
  </si>
  <si>
    <t xml:space="preserve">5–6</t>
  </si>
  <si>
    <t xml:space="preserve">Module 2 Résumé Readiness</t>
  </si>
  <si>
    <t xml:space="preserve">Bilingual scripts, notes, quizzes, résumé evidence and review</t>
  </si>
  <si>
    <t xml:space="preserve">D05</t>
  </si>
  <si>
    <t xml:space="preserve">7–8</t>
  </si>
  <si>
    <t xml:space="preserve">Module 3 Communication Readiness</t>
  </si>
  <si>
    <t xml:space="preserve">Bilingual scripts, notes, quizzes, recordings, activities and review</t>
  </si>
  <si>
    <t xml:space="preserve">Content ingestion and media/evidence workflow</t>
  </si>
  <si>
    <t xml:space="preserve">D06</t>
  </si>
  <si>
    <t xml:space="preserve">9–10</t>
  </si>
  <si>
    <t xml:space="preserve">Module 4 Aptitude Readiness</t>
  </si>
  <si>
    <t xml:space="preserve">Bilingual learning, quizzes, practice, evidence and human review</t>
  </si>
  <si>
    <t xml:space="preserve">Assessment, attempt and evidence workflow</t>
  </si>
  <si>
    <t xml:space="preserve">D07</t>
  </si>
  <si>
    <t xml:space="preserve">11–12</t>
  </si>
  <si>
    <t xml:space="preserve">Bilingual learning, scenarios, evidence, review and action plan</t>
  </si>
  <si>
    <t xml:space="preserve">Scenario and human-review workflow</t>
  </si>
  <si>
    <t xml:space="preserve">D08</t>
  </si>
  <si>
    <t xml:space="preserve">13–14</t>
  </si>
  <si>
    <t xml:space="preserve">Four bilingual lessons, 40 quiz questions, evidence and mock interview</t>
  </si>
  <si>
    <t xml:space="preserve">Recording, mock interview and correction workflow</t>
  </si>
  <si>
    <t xml:space="preserve">D09</t>
  </si>
  <si>
    <t xml:space="preserve">Final Stage</t>
  </si>
  <si>
    <t xml:space="preserve">15</t>
  </si>
  <si>
    <t xml:space="preserve">Final Demonstration and Reassessment</t>
  </si>
  <si>
    <t xml:space="preserve">Six-module consolidation, panel, simulation, reflection and reassessment</t>
  </si>
  <si>
    <t xml:space="preserve">Eligibility, panel, moderation and handover</t>
  </si>
  <si>
    <t xml:space="preserve">Configure controlled workflow and UAT</t>
  </si>
  <si>
    <t xml:space="preserve">D10</t>
  </si>
  <si>
    <t xml:space="preserve">16</t>
  </si>
  <si>
    <t xml:space="preserve">Final ERI Passport and Progression</t>
  </si>
  <si>
    <t xml:space="preserve">Seven-domain ERI, Passport, portfolio, conference and progression plan</t>
  </si>
  <si>
    <t xml:space="preserve">Draft generation, approval and release</t>
  </si>
  <si>
    <t xml:space="preserve">Approve ERI method and complete release UAT</t>
  </si>
  <si>
    <t xml:space="preserve">AERS TRANSFORM v2.0  |  DEVELOPER INGESTION AND ACCEPTANCE MATRIX</t>
  </si>
  <si>
    <t xml:space="preserve">The system supports delivery and evidence flow; authorised humans retain assessment, ERI and Passport authority</t>
  </si>
  <si>
    <t xml:space="preserve">Workflow</t>
  </si>
  <si>
    <t xml:space="preserve">Required platform behaviour</t>
  </si>
  <si>
    <t xml:space="preserve">Learner action</t>
  </si>
  <si>
    <t xml:space="preserve">Human action</t>
  </si>
  <si>
    <t xml:space="preserve">System output</t>
  </si>
  <si>
    <t xml:space="preserve">Hard control</t>
  </si>
  <si>
    <t xml:space="preserve">UAT evidence</t>
  </si>
  <si>
    <t xml:space="preserve">Onboarding and consent</t>
  </si>
  <si>
    <t xml:space="preserve">Role-based onboarding, consent versioning and cohort isolation</t>
  </si>
  <si>
    <t xml:space="preserve">Activate account and consent</t>
  </si>
  <si>
    <t xml:space="preserve">Resolve exceptions</t>
  </si>
  <si>
    <t xml:space="preserve">Timestamped profile and consent</t>
  </si>
  <si>
    <t xml:space="preserve">No participation without required consent</t>
  </si>
  <si>
    <t xml:space="preserve">Valid and exception journeys</t>
  </si>
  <si>
    <t xml:space="preserve">Product / QA</t>
  </si>
  <si>
    <t xml:space="preserve">Baseline and pathway</t>
  </si>
  <si>
    <t xml:space="preserve">Deliver approved assessment and show interpretable results</t>
  </si>
  <si>
    <t xml:space="preserve">Complete baseline and confirm goals</t>
  </si>
  <si>
    <t xml:space="preserve">Approve pathway and support</t>
  </si>
  <si>
    <t xml:space="preserve">Baseline profile and personalised journey</t>
  </si>
  <si>
    <t xml:space="preserve">No unsupported automated readiness decision</t>
  </si>
  <si>
    <t xml:space="preserve">Assessment and pathway UAT</t>
  </si>
  <si>
    <t xml:space="preserve">Sequential module release</t>
  </si>
  <si>
    <t xml:space="preserve">Unlock only the approved next module</t>
  </si>
  <si>
    <t xml:space="preserve">Complete current module</t>
  </si>
  <si>
    <t xml:space="preserve">Approve close or intervention</t>
  </si>
  <si>
    <t xml:space="preserve">Next-action state</t>
  </si>
  <si>
    <t xml:space="preserve">No bypass of module gate</t>
  </si>
  <si>
    <t xml:space="preserve">All gate branches tested</t>
  </si>
  <si>
    <t xml:space="preserve">Product Owner</t>
  </si>
  <si>
    <t xml:space="preserve">Learning and quiz</t>
  </si>
  <si>
    <t xml:space="preserve">Track video/note access, quiz score and attempts</t>
  </si>
  <si>
    <t xml:space="preserve">Learn and attempt quiz</t>
  </si>
  <si>
    <t xml:space="preserve">Support where required</t>
  </si>
  <si>
    <t xml:space="preserve">Completion and score</t>
  </si>
  <si>
    <t xml:space="preserve">Quiz pass is 60%; quiz alone never verifies capability</t>
  </si>
  <si>
    <t xml:space="preserve">Pass, fail and retry cases</t>
  </si>
  <si>
    <t xml:space="preserve">Developer / QA</t>
  </si>
  <si>
    <t xml:space="preserve">Evidence submission</t>
  </si>
  <si>
    <t xml:space="preserve">Store file, version, timestamp, declaration and metadata</t>
  </si>
  <si>
    <t xml:space="preserve">Submit authentic evidence</t>
  </si>
  <si>
    <t xml:space="preserve">Check completeness</t>
  </si>
  <si>
    <t xml:space="preserve">Versioned submission</t>
  </si>
  <si>
    <t xml:space="preserve">No overwriting prior versions</t>
  </si>
  <si>
    <t xml:space="preserve">Upload and version-history UAT</t>
  </si>
  <si>
    <t xml:space="preserve">Human rubric review</t>
  </si>
  <si>
    <t xml:space="preserve">Present approved rubric and evidence context</t>
  </si>
  <si>
    <t xml:space="preserve">View feedback</t>
  </si>
  <si>
    <t xml:space="preserve">Score, comment and decide</t>
  </si>
  <si>
    <t xml:space="preserve">Auditable human decision</t>
  </si>
  <si>
    <t xml:space="preserve">Every compulsory evidence item minimum 6/10; holds can override score</t>
  </si>
  <si>
    <t xml:space="preserve">Review, revision and hold cases</t>
  </si>
  <si>
    <t xml:space="preserve">Revision and resubmission</t>
  </si>
  <si>
    <t xml:space="preserve">Return specific feedback and link resubmission</t>
  </si>
  <si>
    <t xml:space="preserve">Correct and resubmit</t>
  </si>
  <si>
    <t xml:space="preserve">Re-review and verify</t>
  </si>
  <si>
    <t xml:space="preserve">Linked evidence versions</t>
  </si>
  <si>
    <t xml:space="preserve">Original record retained</t>
  </si>
  <si>
    <t xml:space="preserve">Multi-version UAT</t>
  </si>
  <si>
    <t xml:space="preserve">Guided sessions</t>
  </si>
  <si>
    <t xml:space="preserve">Schedule, record attendance and link outputs</t>
  </si>
  <si>
    <t xml:space="preserve">Attend and practise</t>
  </si>
  <si>
    <t xml:space="preserve">Facilitate and record observations</t>
  </si>
  <si>
    <t xml:space="preserve">Session record</t>
  </si>
  <si>
    <t xml:space="preserve">One 60-minute session weekly from Week 3</t>
  </si>
  <si>
    <t xml:space="preserve">Session and absence cases</t>
  </si>
  <si>
    <t xml:space="preserve">Facilitator Lead</t>
  </si>
  <si>
    <t xml:space="preserve">Week 15 demonstration</t>
  </si>
  <si>
    <t xml:space="preserve">Manage eligibility, panel, independent scores and moderation</t>
  </si>
  <si>
    <t xml:space="preserve">Complete final demonstration</t>
  </si>
  <si>
    <t xml:space="preserve">Panel assesses and reviewer moderates</t>
  </si>
  <si>
    <t xml:space="preserve">Final readiness evidence</t>
  </si>
  <si>
    <t xml:space="preserve">Comparable reassessment only when authorised</t>
  </si>
  <si>
    <t xml:space="preserve">Panel and reassessment UAT</t>
  </si>
  <si>
    <t xml:space="preserve">ERI profile</t>
  </si>
  <si>
    <t xml:space="preserve">Calculate/display only approved versioned method</t>
  </si>
  <si>
    <t xml:space="preserve">Review profile</t>
  </si>
  <si>
    <t xml:space="preserve">Interpret, moderate and approve</t>
  </si>
  <si>
    <t xml:space="preserve">Draft or approved ERI profile</t>
  </si>
  <si>
    <t xml:space="preserve">No invented or unapproved numeric ERI</t>
  </si>
  <si>
    <t xml:space="preserve">Method-version and approval UAT</t>
  </si>
  <si>
    <t xml:space="preserve">Employability Passport</t>
  </si>
  <si>
    <t xml:space="preserve">Generate draft from approved claims and evidence</t>
  </si>
  <si>
    <t xml:space="preserve">Validate identity and sharing</t>
  </si>
  <si>
    <t xml:space="preserve">Approve correction and release</t>
  </si>
  <si>
    <t xml:space="preserve">Versioned Passport</t>
  </si>
  <si>
    <t xml:space="preserve">No automatic issuance</t>
  </si>
  <si>
    <t xml:space="preserve">Draft, correction, withhold and release UAT</t>
  </si>
  <si>
    <t xml:space="preserve">Audit and security</t>
  </si>
  <si>
    <t xml:space="preserve">Preserve decisions, access, versions and change history</t>
  </si>
  <si>
    <t xml:space="preserve">Access own records only</t>
  </si>
  <si>
    <t xml:space="preserve">Access authorised cohorts and decisions</t>
  </si>
  <si>
    <t xml:space="preserve">Audit trail and alerts</t>
  </si>
  <si>
    <t xml:space="preserve">Institution/cohort isolation and least privilege</t>
  </si>
  <si>
    <t xml:space="preserve">Permission and audit tests</t>
  </si>
  <si>
    <t xml:space="preserve">Technical Lead</t>
  </si>
  <si>
    <t xml:space="preserve">AERS TRANSFORM v2.0  |  APPROVED CONTROL VALUES</t>
  </si>
  <si>
    <t xml:space="preserve">Use these values for content configuration, reviewer workflow and UAT; changes require controlled approval</t>
  </si>
  <si>
    <t xml:space="preserve">Control ID</t>
  </si>
  <si>
    <t xml:space="preserve">Area</t>
  </si>
  <si>
    <t xml:space="preserve">Approved rule</t>
  </si>
  <si>
    <t xml:space="preserve">System implementation</t>
  </si>
  <si>
    <t xml:space="preserve">Authority</t>
  </si>
  <si>
    <t xml:space="preserve">Change status</t>
  </si>
  <si>
    <t xml:space="preserve">C01</t>
  </si>
  <si>
    <t xml:space="preserve">Quiz</t>
  </si>
  <si>
    <t xml:space="preserve">Pass at 60% or above; approved attempt rules; no negative marking unless separately approved</t>
  </si>
  <si>
    <t xml:space="preserve">Calculate and display; retain attempts</t>
  </si>
  <si>
    <t xml:space="preserve">Programme / Assessment Owner</t>
  </si>
  <si>
    <t xml:space="preserve">Locked</t>
  </si>
  <si>
    <t xml:space="preserve">C02</t>
  </si>
  <si>
    <t xml:space="preserve">Human evidence</t>
  </si>
  <si>
    <t xml:space="preserve">Each compulsory human-reviewed evidence item must score at least 6/10</t>
  </si>
  <si>
    <t xml:space="preserve">Block module close until decision and required correction</t>
  </si>
  <si>
    <t xml:space="preserve">Authorised reviewer</t>
  </si>
  <si>
    <t xml:space="preserve">C03</t>
  </si>
  <si>
    <t xml:space="preserve">Module gate</t>
  </si>
  <si>
    <t xml:space="preserve">No separate 7/10 module gate</t>
  </si>
  <si>
    <t xml:space="preserve">Do not configure an additional aggregate gate</t>
  </si>
  <si>
    <t xml:space="preserve">C04</t>
  </si>
  <si>
    <t xml:space="preserve">Completion</t>
  </si>
  <si>
    <t xml:space="preserve">All compulsory evidence verified, revisions complete and feedback acknowledged</t>
  </si>
  <si>
    <t xml:space="preserve">Gate next module on all conditions</t>
  </si>
  <si>
    <t xml:space="preserve">C05</t>
  </si>
  <si>
    <t xml:space="preserve">One 60-minute guided session weekly from Week 3</t>
  </si>
  <si>
    <t xml:space="preserve">Schedule, attendance, outputs and notes</t>
  </si>
  <si>
    <t xml:space="preserve">C06</t>
  </si>
  <si>
    <t xml:space="preserve">Responsible AI</t>
  </si>
  <si>
    <t xml:space="preserve">Material assistance declared; no fabrication, impersonation or undisclosed live answers</t>
  </si>
  <si>
    <t xml:space="preserve">Declaration, reviewer flag and audit record</t>
  </si>
  <si>
    <t xml:space="preserve">C07</t>
  </si>
  <si>
    <t xml:space="preserve">Decision statuses</t>
  </si>
  <si>
    <t xml:space="preserve">Submitted, Under Review, Verified, Verified with Revision, Evidence Pending, Rejected, Hold or Escalation</t>
  </si>
  <si>
    <t xml:space="preserve">Controlled state machine with reason and timestamp</t>
  </si>
  <si>
    <t xml:space="preserve">C08</t>
  </si>
  <si>
    <t xml:space="preserve">Public Passport labels</t>
  </si>
  <si>
    <t xml:space="preserve">Verified, Developing, Evidence Pending</t>
  </si>
  <si>
    <t xml:space="preserve">Only approved claims and public labels exposed</t>
  </si>
  <si>
    <t xml:space="preserve">Authorised AERS reviewer</t>
  </si>
  <si>
    <t xml:space="preserve">C09</t>
  </si>
  <si>
    <t xml:space="preserve">ERI</t>
  </si>
  <si>
    <t xml:space="preserve">Numeric value only with an approved, versioned method</t>
  </si>
  <si>
    <t xml:space="preserve">Keep draft hidden until human approval</t>
  </si>
  <si>
    <t xml:space="preserve">Programme Owner / Moderator</t>
  </si>
  <si>
    <t xml:space="preserve">Governance Approval</t>
  </si>
  <si>
    <t xml:space="preserve">C10</t>
  </si>
  <si>
    <t xml:space="preserve">Passport</t>
  </si>
  <si>
    <t xml:space="preserve">Human approval required before issuance or external sharing</t>
  </si>
  <si>
    <t xml:space="preserve">Draft, validate, correct, approve, release and revoke/version</t>
  </si>
  <si>
    <t xml:space="preserve">C11</t>
  </si>
  <si>
    <t xml:space="preserve">Privacy</t>
  </si>
  <si>
    <t xml:space="preserve">Role, institution and cohort access isolation; consent and sharing scope retained</t>
  </si>
  <si>
    <t xml:space="preserve">Least privilege, audit, secure links and retention controls</t>
  </si>
  <si>
    <t xml:space="preserve">Data / Programme Owner</t>
  </si>
  <si>
    <t xml:space="preserve">C12</t>
  </si>
  <si>
    <t xml:space="preserve">Programme claim</t>
  </si>
  <si>
    <t xml:space="preserve">No degree, licence, job offer or employment guarantee</t>
  </si>
  <si>
    <t xml:space="preserve">Display approved disclaimer in final outputs</t>
  </si>
  <si>
    <t xml:space="preserve">AERS TRANSFORM v2.0  |  MASTER INDEX AUDIT</t>
  </si>
  <si>
    <t xml:space="preserve">Terminal checks only  |  Resolve failures before developer handover or publication</t>
  </si>
  <si>
    <t xml:space="preserve">Check</t>
  </si>
  <si>
    <t xml:space="preserve">Expected</t>
  </si>
  <si>
    <t xml:space="preserve">Actual</t>
  </si>
  <si>
    <t xml:space="preserve">Result</t>
  </si>
  <si>
    <t xml:space="preserve">Action</t>
  </si>
  <si>
    <t xml:space="preserve">16 programme weeks</t>
  </si>
  <si>
    <t xml:space="preserve">Six controlled module masters</t>
  </si>
  <si>
    <t xml:space="preserve">Current and verified weeks</t>
  </si>
  <si>
    <t xml:space="preserve">Alignment review weeks</t>
  </si>
  <si>
    <t xml:space="preserve">Issue or align Weeks 1–2 v2.0</t>
  </si>
  <si>
    <t xml:space="preserve">Controlled deliverables</t>
  </si>
  <si>
    <t xml:space="preserve">Regenerated and verified deliverables</t>
  </si>
  <si>
    <t xml:space="preserve">Developer workflows</t>
  </si>
  <si>
    <t xml:space="preserve">Approved controls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</si>
</sst>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0F3D6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253746"/>
      <name val="Calibri"/>
      <family val="0"/>
      <charset val="1"/>
    </font>
    <font>
      <b val="true"/>
      <sz val="9"/>
      <color rgb="FF7A52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F3D6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3D66"/>
        <bgColor rgb="FF253746"/>
      </patternFill>
    </fill>
    <fill>
      <patternFill patternType="solid">
        <fgColor rgb="FFEAF4F4"/>
        <bgColor rgb="FFEAF1F7"/>
      </patternFill>
    </fill>
    <fill>
      <patternFill patternType="solid">
        <fgColor rgb="FFFFF3D6"/>
        <bgColor rgb="FFFCE4E4"/>
      </patternFill>
    </fill>
    <fill>
      <patternFill patternType="solid">
        <fgColor rgb="FF1AA6A6"/>
        <bgColor rgb="FF33CCCC"/>
      </patternFill>
    </fill>
    <fill>
      <patternFill patternType="solid">
        <fgColor rgb="FFEAF1F7"/>
        <bgColor rgb="FFEAF4F4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  <border diagonalUp="false" diagonalDown="false">
      <left/>
      <right style="thin">
        <color rgb="FFD9E1E5"/>
      </right>
      <top/>
      <bottom style="thin">
        <color rgb="FFD9E1E5"/>
      </bottom>
      <diagonal/>
    </border>
    <border diagonalUp="false" diagonalDown="false">
      <left style="thin">
        <color rgb="FFD9E1E5"/>
      </left>
      <right/>
      <top/>
      <bottom style="thin">
        <color rgb="FFD9E1E5"/>
      </bottom>
      <diagonal/>
    </border>
    <border diagonalUp="false" diagonalDown="false">
      <left style="thin">
        <color rgb="FFD9E1E5"/>
      </left>
      <right style="thin">
        <color rgb="FFD9E1E5"/>
      </right>
      <top/>
      <bottom style="thin">
        <color rgb="FFD9E1E5"/>
      </bottom>
      <diagonal/>
    </border>
    <border diagonalUp="false" diagonalDown="false">
      <left/>
      <right style="thin">
        <color rgb="FFD9E1E5"/>
      </right>
      <top style="thin">
        <color rgb="FFD9E1E5"/>
      </top>
      <bottom style="thin">
        <color rgb="FFD9E1E5"/>
      </bottom>
      <diagonal/>
    </border>
    <border diagonalUp="false" diagonalDown="false">
      <left style="thin">
        <color rgb="FFD9E1E5"/>
      </left>
      <right/>
      <top style="thin">
        <color rgb="FFD9E1E5"/>
      </top>
      <bottom style="thin">
        <color rgb="FFD9E1E5"/>
      </bottom>
      <diagonal/>
    </border>
    <border diagonalUp="false" diagonalDown="false">
      <left/>
      <right style="thin">
        <color rgb="FFD9E1E5"/>
      </right>
      <top style="thin">
        <color rgb="FFD9E1E5"/>
      </top>
      <bottom/>
      <diagonal/>
    </border>
    <border diagonalUp="false" diagonalDown="false">
      <left style="thin">
        <color rgb="FFD9E1E5"/>
      </left>
      <right style="thin">
        <color rgb="FFD9E1E5"/>
      </right>
      <top style="thin">
        <color rgb="FFD9E1E5"/>
      </top>
      <bottom/>
      <diagonal/>
    </border>
    <border diagonalUp="false" diagonalDown="false">
      <left style="thin">
        <color rgb="FFD9E1E5"/>
      </left>
      <right/>
      <top style="thin">
        <color rgb="FFD9E1E5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9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9">
    <dxf>
      <fill>
        <patternFill>
          <bgColor rgb="FFF7FAFB"/>
        </patternFill>
      </fill>
    </dxf>
    <dxf>
      <fill>
        <patternFill>
          <bgColor rgb="FFF7FAFB"/>
        </patternFill>
      </fill>
    </dxf>
    <dxf>
      <font>
        <b val="1"/>
        <color rgb="FF176B3A"/>
      </font>
      <fill>
        <patternFill>
          <bgColor rgb="FFDFF2E5"/>
        </patternFill>
      </fill>
    </dxf>
    <dxf>
      <font>
        <b val="1"/>
        <color rgb="FF9B1C1C"/>
      </font>
      <fill>
        <patternFill>
          <bgColor rgb="FFFCE4E4"/>
        </patternFill>
      </fill>
    </dxf>
    <dxf>
      <fill>
        <patternFill>
          <bgColor rgb="FFF7FAFB"/>
        </patternFill>
      </fill>
    </dxf>
    <dxf>
      <font>
        <b val="1"/>
        <color rgb="FF176B3A"/>
      </font>
      <fill>
        <patternFill>
          <bgColor rgb="FFDFF2E5"/>
        </patternFill>
      </fill>
    </dxf>
    <dxf>
      <font>
        <b val="1"/>
        <color rgb="FF7A5200"/>
      </font>
      <fill>
        <patternFill>
          <bgColor rgb="FFFFF3D6"/>
        </patternFill>
      </fill>
    </dxf>
    <dxf>
      <fill>
        <patternFill>
          <bgColor rgb="FFF7FAFB"/>
        </patternFill>
      </fill>
    </dxf>
    <dxf>
      <font>
        <b val="1"/>
        <color rgb="FF176B3A"/>
      </font>
      <fill>
        <patternFill>
          <bgColor rgb="FFDFF2E5"/>
        </patternFill>
      </fill>
    </dxf>
    <dxf>
      <font>
        <b val="1"/>
        <color rgb="FF7A5200"/>
      </font>
      <fill>
        <patternFill>
          <bgColor rgb="FFFFF3D6"/>
        </patternFill>
      </fill>
    </dxf>
    <dxf>
      <fill>
        <patternFill>
          <bgColor rgb="FFF7FAFB"/>
        </patternFill>
      </fill>
    </dxf>
    <dxf>
      <font>
        <b val="1"/>
        <color rgb="FF176B3A"/>
      </font>
      <fill>
        <patternFill>
          <bgColor rgb="FFDFF2E5"/>
        </patternFill>
      </fill>
    </dxf>
    <dxf>
      <font>
        <b val="1"/>
        <color rgb="FF9B1C1C"/>
      </font>
      <fill>
        <patternFill>
          <bgColor rgb="FFFCE4E4"/>
        </patternFill>
      </fill>
    </dxf>
    <dxf>
      <fill>
        <patternFill>
          <bgColor rgb="FFF7FAFB"/>
        </patternFill>
      </fill>
    </dxf>
    <dxf>
      <font>
        <b val="1"/>
        <color rgb="FF176B3A"/>
      </font>
      <fill>
        <patternFill>
          <bgColor rgb="FFDFF2E5"/>
        </patternFill>
      </fill>
    </dxf>
    <dxf>
      <font>
        <b val="1"/>
        <color rgb="FF7A5200"/>
      </font>
      <fill>
        <patternFill>
          <bgColor rgb="FFFFF3D6"/>
        </patternFill>
      </fill>
    </dxf>
    <dxf>
      <fill>
        <patternFill>
          <bgColor rgb="FFF7FAFB"/>
        </patternFill>
      </fill>
    </dxf>
    <dxf>
      <font>
        <b val="1"/>
        <color rgb="FF176B3A"/>
      </font>
      <fill>
        <patternFill>
          <bgColor rgb="FFDFF2E5"/>
        </patternFill>
      </fill>
    </dxf>
    <dxf>
      <font>
        <b val="1"/>
        <color rgb="FF9B1C1C"/>
      </font>
      <fill>
        <patternFill>
          <bgColor rgb="FFFC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76B3A"/>
      <rgbColor rgb="FF000080"/>
      <rgbColor rgb="FF7A5200"/>
      <rgbColor rgb="FF800080"/>
      <rgbColor rgb="FF008080"/>
      <rgbColor rgb="FFC0C0C0"/>
      <rgbColor rgb="FF808080"/>
      <rgbColor rgb="FF9999FF"/>
      <rgbColor rgb="FF993366"/>
      <rgbColor rgb="FFFFF3D6"/>
      <rgbColor rgb="FFEAF4F4"/>
      <rgbColor rgb="FF660066"/>
      <rgbColor rgb="FFFF8080"/>
      <rgbColor rgb="FF0066CC"/>
      <rgbColor rgb="FFD9E1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7"/>
      <rgbColor rgb="FFDFF2E5"/>
      <rgbColor rgb="FFF7FAFB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D66"/>
      <rgbColor rgb="FF1AA6A6"/>
      <rgbColor rgb="FF003300"/>
      <rgbColor rgb="FF333300"/>
      <rgbColor rgb="FF9B1C1C"/>
      <rgbColor rgb="FF993366"/>
      <rgbColor rgb="FF333399"/>
      <rgbColor rgb="FF25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31"/>
    <col collapsed="false" customWidth="true" hidden="false" outlineLevel="0" max="5" min="5" style="0" width="25"/>
    <col collapsed="false" customWidth="true" hidden="false" outlineLevel="0" max="6" min="6" style="0" width="18"/>
    <col collapsed="false" customWidth="true" hidden="false" outlineLevel="0" max="7" min="7" style="0" width="4"/>
    <col collapsed="false" customWidth="true" hidden="false" outlineLevel="0" max="10" min="8" style="0" width="12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2" hidden="false" customHeight="true" outlineLevel="0" collapsed="false">
      <c r="A4" s="3" t="s">
        <v>2</v>
      </c>
      <c r="B4" s="3" t="s">
        <v>3</v>
      </c>
      <c r="D4" s="3" t="s">
        <v>4</v>
      </c>
      <c r="E4" s="3" t="s">
        <v>5</v>
      </c>
      <c r="F4" s="3" t="s">
        <v>6</v>
      </c>
    </row>
    <row r="5" customFormat="false" ht="30" hidden="false" customHeight="true" outlineLevel="0" collapsed="false">
      <c r="A5" s="4" t="s">
        <v>7</v>
      </c>
      <c r="B5" s="5" t="n">
        <f aca="false">COUNTA('16-Week Map'!A5:A20)</f>
        <v>16</v>
      </c>
      <c r="D5" s="4" t="s">
        <v>8</v>
      </c>
      <c r="E5" s="6" t="s">
        <v>9</v>
      </c>
      <c r="F5" s="5" t="s">
        <v>10</v>
      </c>
    </row>
    <row r="6" customFormat="false" ht="30" hidden="false" customHeight="true" outlineLevel="0" collapsed="false">
      <c r="A6" s="7" t="s">
        <v>11</v>
      </c>
      <c r="B6" s="8" t="n">
        <f aca="false">COUNTIF('Deliverable Register'!B5:B14,"Module Master")</f>
        <v>6</v>
      </c>
      <c r="D6" s="7" t="s">
        <v>12</v>
      </c>
      <c r="E6" s="9" t="s">
        <v>13</v>
      </c>
      <c r="F6" s="8" t="s">
        <v>14</v>
      </c>
    </row>
    <row r="7" customFormat="false" ht="30" hidden="false" customHeight="true" outlineLevel="0" collapsed="false">
      <c r="A7" s="7" t="s">
        <v>15</v>
      </c>
      <c r="B7" s="8" t="n">
        <f aca="false">COUNTIF('Deliverable Register'!B5:B14,"Module Master")</f>
        <v>6</v>
      </c>
      <c r="D7" s="7" t="s">
        <v>16</v>
      </c>
      <c r="E7" s="9" t="s">
        <v>17</v>
      </c>
      <c r="F7" s="8" t="s">
        <v>14</v>
      </c>
    </row>
    <row r="8" customFormat="false" ht="30" hidden="false" customHeight="true" outlineLevel="0" collapsed="false">
      <c r="A8" s="7" t="s">
        <v>18</v>
      </c>
      <c r="B8" s="8" t="n">
        <f aca="false">COUNTIF('Deliverable Register'!B5:B14,"Final Stage")</f>
        <v>2</v>
      </c>
      <c r="D8" s="7" t="s">
        <v>19</v>
      </c>
      <c r="E8" s="9" t="s">
        <v>9</v>
      </c>
      <c r="F8" s="8" t="s">
        <v>14</v>
      </c>
    </row>
    <row r="9" customFormat="false" ht="30" hidden="false" customHeight="true" outlineLevel="0" collapsed="false">
      <c r="A9" s="7" t="s">
        <v>20</v>
      </c>
      <c r="B9" s="8" t="n">
        <f aca="false">COUNTA('Deliverable Register'!A5:A14)</f>
        <v>10</v>
      </c>
      <c r="D9" s="7" t="s">
        <v>21</v>
      </c>
      <c r="E9" s="9" t="s">
        <v>22</v>
      </c>
      <c r="F9" s="8" t="s">
        <v>10</v>
      </c>
    </row>
    <row r="10" customFormat="false" ht="30" hidden="false" customHeight="true" outlineLevel="0" collapsed="false">
      <c r="A10" s="7" t="s">
        <v>23</v>
      </c>
      <c r="B10" s="8" t="n">
        <f aca="false">COUNTIF('16-Week Map'!L5:L20,"Current and Verified")</f>
        <v>14</v>
      </c>
      <c r="D10" s="7" t="s">
        <v>24</v>
      </c>
      <c r="E10" s="9" t="s">
        <v>25</v>
      </c>
      <c r="F10" s="8" t="s">
        <v>10</v>
      </c>
    </row>
    <row r="11" customFormat="false" ht="30" hidden="false" customHeight="true" outlineLevel="0" collapsed="false">
      <c r="A11" s="7" t="s">
        <v>26</v>
      </c>
      <c r="B11" s="8" t="n">
        <f aca="false">COUNTIF('16-Week Map'!L5:L20,"Alignment Review")</f>
        <v>2</v>
      </c>
      <c r="D11" s="7" t="s">
        <v>27</v>
      </c>
      <c r="E11" s="9" t="s">
        <v>28</v>
      </c>
      <c r="F11" s="8" t="s">
        <v>10</v>
      </c>
    </row>
    <row r="12" customFormat="false" ht="30" hidden="false" customHeight="true" outlineLevel="0" collapsed="false">
      <c r="A12" s="10" t="s">
        <v>29</v>
      </c>
      <c r="B12" s="11" t="str">
        <f aca="false">IF(B11=0,"Current and Verified","Ready with Weeks 1–2 alignment review")</f>
        <v>Ready with Weeks 1–2 alignment review</v>
      </c>
      <c r="D12" s="10" t="s">
        <v>30</v>
      </c>
      <c r="E12" s="12" t="s">
        <v>31</v>
      </c>
      <c r="F12" s="13" t="s">
        <v>10</v>
      </c>
    </row>
    <row r="15" customFormat="false" ht="25" hidden="false" customHeight="true" outlineLevel="0" collapsed="false">
      <c r="A15" s="14" t="s">
        <v>32</v>
      </c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15" hidden="false" customHeight="true" outlineLevel="0" collapsed="false">
      <c r="A16" s="15" t="s">
        <v>33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15" hidden="false" customHeight="fals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15" hidden="false" customHeight="false" outlineLevel="0" collapsed="false">
      <c r="A18" s="15"/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4">
    <mergeCell ref="A1:J1"/>
    <mergeCell ref="A2:J2"/>
    <mergeCell ref="A15:J15"/>
    <mergeCell ref="A16:J18"/>
  </mergeCells>
  <conditionalFormatting sqref="A5:B12">
    <cfRule type="expression" priority="2" aboveAverage="0" equalAverage="0" bottom="0" percent="0" rank="0" text="" dxfId="0">
      <formula>MOD(ROW(),2)=1</formula>
    </cfRule>
  </conditionalFormatting>
  <conditionalFormatting sqref="D5:F12">
    <cfRule type="expression" priority="3" aboveAverage="0" equalAverage="0" bottom="0" percent="0" rank="0" text="" dxfId="1">
      <formula>MOD(ROW(),2)=1</formula>
    </cfRule>
  </conditionalFormatting>
  <conditionalFormatting sqref="F5:F12">
    <cfRule type="containsText" priority="4" operator="containsText" aboveAverage="0" equalAverage="0" bottom="0" percent="0" rank="0" text="Passed" dxfId="2">
      <formula>NOT(ISERROR(SEARCH("Passed",F5)))</formula>
    </cfRule>
    <cfRule type="containsText" priority="5" operator="containsText" aboveAverage="0" equalAverage="0" bottom="0" percent="0" rank="0" text="Blocked" dxfId="3">
      <formula>NOT(ISERROR(SEARCH("Blocked",F5)))</formula>
    </cfRule>
  </conditionalFormatting>
  <dataValidations count="1">
    <dataValidation allowBlank="false" errorStyle="stop" operator="between" showDropDown="false" showErrorMessage="false" showInputMessage="false" sqref="F5:F12" type="list">
      <formula1>"Open,In Progress,Passed,Blocked,Not Applicable"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5"/>
    <col collapsed="false" customWidth="true" hidden="false" outlineLevel="0" max="4" min="4" style="0" width="30"/>
    <col collapsed="false" customWidth="true" hidden="false" outlineLevel="0" max="5" min="5" style="0" width="29"/>
    <col collapsed="false" customWidth="true" hidden="false" outlineLevel="0" max="6" min="6" style="0" width="37"/>
    <col collapsed="false" customWidth="true" hidden="false" outlineLevel="0" max="7" min="7" style="0" width="12"/>
    <col collapsed="false" customWidth="true" hidden="false" outlineLevel="0" max="9" min="8" style="0" width="31"/>
    <col collapsed="false" customWidth="true" hidden="false" outlineLevel="0" max="10" min="10" style="0" width="50"/>
    <col collapsed="false" customWidth="true" hidden="false" outlineLevel="0" max="11" min="11" style="0" width="36"/>
    <col collapsed="false" customWidth="true" hidden="false" outlineLevel="0" max="12" min="12" style="0" width="20"/>
  </cols>
  <sheetData>
    <row r="1" customFormat="false" ht="34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2" hidden="false" customHeight="tru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</row>
    <row r="5" customFormat="false" ht="72" hidden="false" customHeight="true" outlineLevel="0" collapsed="false">
      <c r="A5" s="4" t="n">
        <v>1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56</v>
      </c>
      <c r="K5" s="6" t="s">
        <v>57</v>
      </c>
      <c r="L5" s="5" t="s">
        <v>58</v>
      </c>
    </row>
    <row r="6" customFormat="false" ht="72" hidden="false" customHeight="true" outlineLevel="0" collapsed="false">
      <c r="A6" s="7" t="n">
        <v>2</v>
      </c>
      <c r="B6" s="9" t="s">
        <v>48</v>
      </c>
      <c r="C6" s="9" t="s">
        <v>59</v>
      </c>
      <c r="D6" s="9" t="s">
        <v>60</v>
      </c>
      <c r="E6" s="9" t="s">
        <v>61</v>
      </c>
      <c r="F6" s="9" t="s">
        <v>62</v>
      </c>
      <c r="G6" s="9" t="s">
        <v>53</v>
      </c>
      <c r="H6" s="9" t="s">
        <v>63</v>
      </c>
      <c r="I6" s="9" t="s">
        <v>64</v>
      </c>
      <c r="J6" s="9" t="s">
        <v>65</v>
      </c>
      <c r="K6" s="9" t="s">
        <v>66</v>
      </c>
      <c r="L6" s="8" t="s">
        <v>58</v>
      </c>
    </row>
    <row r="7" customFormat="false" ht="72" hidden="false" customHeight="true" outlineLevel="0" collapsed="false">
      <c r="A7" s="7" t="n">
        <v>3</v>
      </c>
      <c r="B7" s="9" t="s">
        <v>67</v>
      </c>
      <c r="C7" s="9" t="s">
        <v>68</v>
      </c>
      <c r="D7" s="9" t="s">
        <v>69</v>
      </c>
      <c r="E7" s="9" t="s">
        <v>70</v>
      </c>
      <c r="F7" s="9" t="s">
        <v>71</v>
      </c>
      <c r="G7" s="9" t="s">
        <v>72</v>
      </c>
      <c r="H7" s="9" t="s">
        <v>73</v>
      </c>
      <c r="I7" s="9" t="s">
        <v>74</v>
      </c>
      <c r="J7" s="9" t="s">
        <v>75</v>
      </c>
      <c r="K7" s="9" t="s">
        <v>76</v>
      </c>
      <c r="L7" s="8" t="s">
        <v>77</v>
      </c>
    </row>
    <row r="8" customFormat="false" ht="72" hidden="false" customHeight="true" outlineLevel="0" collapsed="false">
      <c r="A8" s="7" t="n">
        <v>4</v>
      </c>
      <c r="B8" s="9" t="s">
        <v>67</v>
      </c>
      <c r="C8" s="9" t="s">
        <v>78</v>
      </c>
      <c r="D8" s="9" t="s">
        <v>79</v>
      </c>
      <c r="E8" s="9" t="s">
        <v>80</v>
      </c>
      <c r="F8" s="9" t="s">
        <v>81</v>
      </c>
      <c r="G8" s="9" t="s">
        <v>72</v>
      </c>
      <c r="H8" s="9" t="s">
        <v>82</v>
      </c>
      <c r="I8" s="9" t="s">
        <v>83</v>
      </c>
      <c r="J8" s="9" t="s">
        <v>75</v>
      </c>
      <c r="K8" s="9" t="s">
        <v>84</v>
      </c>
      <c r="L8" s="8" t="s">
        <v>77</v>
      </c>
    </row>
    <row r="9" customFormat="false" ht="72" hidden="false" customHeight="true" outlineLevel="0" collapsed="false">
      <c r="A9" s="7" t="n">
        <v>5</v>
      </c>
      <c r="B9" s="9" t="s">
        <v>85</v>
      </c>
      <c r="C9" s="9" t="s">
        <v>86</v>
      </c>
      <c r="D9" s="9" t="s">
        <v>87</v>
      </c>
      <c r="E9" s="9" t="s">
        <v>88</v>
      </c>
      <c r="F9" s="9" t="s">
        <v>89</v>
      </c>
      <c r="G9" s="9" t="s">
        <v>72</v>
      </c>
      <c r="H9" s="9" t="s">
        <v>73</v>
      </c>
      <c r="I9" s="9" t="s">
        <v>74</v>
      </c>
      <c r="J9" s="9" t="s">
        <v>90</v>
      </c>
      <c r="K9" s="9" t="s">
        <v>91</v>
      </c>
      <c r="L9" s="8" t="s">
        <v>77</v>
      </c>
    </row>
    <row r="10" customFormat="false" ht="72" hidden="false" customHeight="true" outlineLevel="0" collapsed="false">
      <c r="A10" s="7" t="n">
        <v>6</v>
      </c>
      <c r="B10" s="9" t="s">
        <v>85</v>
      </c>
      <c r="C10" s="9" t="s">
        <v>92</v>
      </c>
      <c r="D10" s="9" t="s">
        <v>93</v>
      </c>
      <c r="E10" s="9" t="s">
        <v>94</v>
      </c>
      <c r="F10" s="9" t="s">
        <v>95</v>
      </c>
      <c r="G10" s="9" t="s">
        <v>72</v>
      </c>
      <c r="H10" s="9" t="s">
        <v>82</v>
      </c>
      <c r="I10" s="9" t="s">
        <v>83</v>
      </c>
      <c r="J10" s="9" t="s">
        <v>90</v>
      </c>
      <c r="K10" s="9" t="s">
        <v>96</v>
      </c>
      <c r="L10" s="8" t="s">
        <v>77</v>
      </c>
    </row>
    <row r="11" customFormat="false" ht="72" hidden="false" customHeight="true" outlineLevel="0" collapsed="false">
      <c r="A11" s="7" t="n">
        <v>7</v>
      </c>
      <c r="B11" s="9" t="s">
        <v>97</v>
      </c>
      <c r="C11" s="9" t="s">
        <v>98</v>
      </c>
      <c r="D11" s="9" t="s">
        <v>99</v>
      </c>
      <c r="E11" s="9" t="s">
        <v>100</v>
      </c>
      <c r="F11" s="9" t="s">
        <v>101</v>
      </c>
      <c r="G11" s="9" t="s">
        <v>72</v>
      </c>
      <c r="H11" s="9" t="s">
        <v>73</v>
      </c>
      <c r="I11" s="9" t="s">
        <v>74</v>
      </c>
      <c r="J11" s="9" t="s">
        <v>102</v>
      </c>
      <c r="K11" s="9" t="s">
        <v>103</v>
      </c>
      <c r="L11" s="8" t="s">
        <v>77</v>
      </c>
    </row>
    <row r="12" customFormat="false" ht="72" hidden="false" customHeight="true" outlineLevel="0" collapsed="false">
      <c r="A12" s="7" t="n">
        <v>8</v>
      </c>
      <c r="B12" s="9" t="s">
        <v>97</v>
      </c>
      <c r="C12" s="9" t="s">
        <v>104</v>
      </c>
      <c r="D12" s="9" t="s">
        <v>105</v>
      </c>
      <c r="E12" s="9" t="s">
        <v>106</v>
      </c>
      <c r="F12" s="9" t="s">
        <v>107</v>
      </c>
      <c r="G12" s="9" t="s">
        <v>72</v>
      </c>
      <c r="H12" s="9" t="s">
        <v>82</v>
      </c>
      <c r="I12" s="9" t="s">
        <v>83</v>
      </c>
      <c r="J12" s="9" t="s">
        <v>102</v>
      </c>
      <c r="K12" s="9" t="s">
        <v>108</v>
      </c>
      <c r="L12" s="8" t="s">
        <v>77</v>
      </c>
    </row>
    <row r="13" customFormat="false" ht="72" hidden="false" customHeight="true" outlineLevel="0" collapsed="false">
      <c r="A13" s="7" t="n">
        <v>9</v>
      </c>
      <c r="B13" s="9" t="s">
        <v>109</v>
      </c>
      <c r="C13" s="9" t="s">
        <v>110</v>
      </c>
      <c r="D13" s="9" t="s">
        <v>111</v>
      </c>
      <c r="E13" s="9" t="s">
        <v>112</v>
      </c>
      <c r="F13" s="9" t="s">
        <v>113</v>
      </c>
      <c r="G13" s="9" t="s">
        <v>72</v>
      </c>
      <c r="H13" s="9" t="s">
        <v>73</v>
      </c>
      <c r="I13" s="9" t="s">
        <v>74</v>
      </c>
      <c r="J13" s="9" t="s">
        <v>114</v>
      </c>
      <c r="K13" s="9" t="s">
        <v>115</v>
      </c>
      <c r="L13" s="8" t="s">
        <v>77</v>
      </c>
    </row>
    <row r="14" customFormat="false" ht="72" hidden="false" customHeight="true" outlineLevel="0" collapsed="false">
      <c r="A14" s="7" t="n">
        <v>10</v>
      </c>
      <c r="B14" s="9" t="s">
        <v>109</v>
      </c>
      <c r="C14" s="9" t="s">
        <v>116</v>
      </c>
      <c r="D14" s="9" t="s">
        <v>117</v>
      </c>
      <c r="E14" s="9" t="s">
        <v>118</v>
      </c>
      <c r="F14" s="9" t="s">
        <v>119</v>
      </c>
      <c r="G14" s="9" t="s">
        <v>72</v>
      </c>
      <c r="H14" s="9" t="s">
        <v>82</v>
      </c>
      <c r="I14" s="9" t="s">
        <v>83</v>
      </c>
      <c r="J14" s="9" t="s">
        <v>114</v>
      </c>
      <c r="K14" s="9" t="s">
        <v>120</v>
      </c>
      <c r="L14" s="8" t="s">
        <v>77</v>
      </c>
    </row>
    <row r="15" customFormat="false" ht="72" hidden="false" customHeight="true" outlineLevel="0" collapsed="false">
      <c r="A15" s="7" t="n">
        <v>11</v>
      </c>
      <c r="B15" s="9" t="s">
        <v>121</v>
      </c>
      <c r="C15" s="9" t="s">
        <v>122</v>
      </c>
      <c r="D15" s="9" t="s">
        <v>123</v>
      </c>
      <c r="E15" s="9" t="s">
        <v>124</v>
      </c>
      <c r="F15" s="9" t="s">
        <v>125</v>
      </c>
      <c r="G15" s="9" t="s">
        <v>72</v>
      </c>
      <c r="H15" s="9" t="s">
        <v>73</v>
      </c>
      <c r="I15" s="9" t="s">
        <v>74</v>
      </c>
      <c r="J15" s="9" t="s">
        <v>126</v>
      </c>
      <c r="K15" s="9" t="s">
        <v>127</v>
      </c>
      <c r="L15" s="8" t="s">
        <v>77</v>
      </c>
    </row>
    <row r="16" customFormat="false" ht="72" hidden="false" customHeight="true" outlineLevel="0" collapsed="false">
      <c r="A16" s="7" t="n">
        <v>12</v>
      </c>
      <c r="B16" s="9" t="s">
        <v>121</v>
      </c>
      <c r="C16" s="9" t="s">
        <v>128</v>
      </c>
      <c r="D16" s="9" t="s">
        <v>129</v>
      </c>
      <c r="E16" s="9" t="s">
        <v>130</v>
      </c>
      <c r="F16" s="9" t="s">
        <v>131</v>
      </c>
      <c r="G16" s="9" t="s">
        <v>72</v>
      </c>
      <c r="H16" s="9" t="s">
        <v>82</v>
      </c>
      <c r="I16" s="9" t="s">
        <v>83</v>
      </c>
      <c r="J16" s="9" t="s">
        <v>126</v>
      </c>
      <c r="K16" s="9" t="s">
        <v>132</v>
      </c>
      <c r="L16" s="8" t="s">
        <v>77</v>
      </c>
    </row>
    <row r="17" customFormat="false" ht="72" hidden="false" customHeight="true" outlineLevel="0" collapsed="false">
      <c r="A17" s="7" t="n">
        <v>13</v>
      </c>
      <c r="B17" s="9" t="s">
        <v>133</v>
      </c>
      <c r="C17" s="9" t="s">
        <v>134</v>
      </c>
      <c r="D17" s="9" t="s">
        <v>135</v>
      </c>
      <c r="E17" s="9" t="s">
        <v>136</v>
      </c>
      <c r="F17" s="9" t="s">
        <v>137</v>
      </c>
      <c r="G17" s="9" t="s">
        <v>72</v>
      </c>
      <c r="H17" s="9" t="s">
        <v>73</v>
      </c>
      <c r="I17" s="9" t="s">
        <v>74</v>
      </c>
      <c r="J17" s="9" t="s">
        <v>138</v>
      </c>
      <c r="K17" s="9" t="s">
        <v>139</v>
      </c>
      <c r="L17" s="8" t="s">
        <v>77</v>
      </c>
    </row>
    <row r="18" customFormat="false" ht="72" hidden="false" customHeight="true" outlineLevel="0" collapsed="false">
      <c r="A18" s="7" t="n">
        <v>14</v>
      </c>
      <c r="B18" s="9" t="s">
        <v>133</v>
      </c>
      <c r="C18" s="9" t="s">
        <v>140</v>
      </c>
      <c r="D18" s="9" t="s">
        <v>141</v>
      </c>
      <c r="E18" s="9" t="s">
        <v>142</v>
      </c>
      <c r="F18" s="9" t="s">
        <v>143</v>
      </c>
      <c r="G18" s="9" t="s">
        <v>72</v>
      </c>
      <c r="H18" s="9" t="s">
        <v>82</v>
      </c>
      <c r="I18" s="9" t="s">
        <v>83</v>
      </c>
      <c r="J18" s="9" t="s">
        <v>138</v>
      </c>
      <c r="K18" s="9" t="s">
        <v>144</v>
      </c>
      <c r="L18" s="8" t="s">
        <v>77</v>
      </c>
    </row>
    <row r="19" customFormat="false" ht="72" hidden="false" customHeight="true" outlineLevel="0" collapsed="false">
      <c r="A19" s="7" t="n">
        <v>15</v>
      </c>
      <c r="B19" s="9" t="s">
        <v>145</v>
      </c>
      <c r="C19" s="9" t="s">
        <v>146</v>
      </c>
      <c r="D19" s="9" t="s">
        <v>147</v>
      </c>
      <c r="E19" s="9" t="s">
        <v>148</v>
      </c>
      <c r="F19" s="9" t="s">
        <v>149</v>
      </c>
      <c r="G19" s="9" t="s">
        <v>150</v>
      </c>
      <c r="H19" s="9" t="s">
        <v>151</v>
      </c>
      <c r="I19" s="9" t="s">
        <v>152</v>
      </c>
      <c r="J19" s="9" t="s">
        <v>153</v>
      </c>
      <c r="K19" s="9" t="s">
        <v>154</v>
      </c>
      <c r="L19" s="8" t="s">
        <v>77</v>
      </c>
    </row>
    <row r="20" customFormat="false" ht="72" hidden="false" customHeight="true" outlineLevel="0" collapsed="false">
      <c r="A20" s="10" t="n">
        <v>16</v>
      </c>
      <c r="B20" s="12" t="s">
        <v>155</v>
      </c>
      <c r="C20" s="12" t="s">
        <v>156</v>
      </c>
      <c r="D20" s="12" t="s">
        <v>157</v>
      </c>
      <c r="E20" s="12" t="s">
        <v>158</v>
      </c>
      <c r="F20" s="12" t="s">
        <v>159</v>
      </c>
      <c r="G20" s="12" t="s">
        <v>160</v>
      </c>
      <c r="H20" s="12" t="s">
        <v>161</v>
      </c>
      <c r="I20" s="12" t="s">
        <v>162</v>
      </c>
      <c r="J20" s="12" t="s">
        <v>163</v>
      </c>
      <c r="K20" s="12" t="s">
        <v>164</v>
      </c>
      <c r="L20" s="13" t="s">
        <v>77</v>
      </c>
    </row>
  </sheetData>
  <mergeCells count="2">
    <mergeCell ref="A1:L1"/>
    <mergeCell ref="A2:L2"/>
  </mergeCells>
  <conditionalFormatting sqref="A5:L20">
    <cfRule type="expression" priority="2" aboveAverage="0" equalAverage="0" bottom="0" percent="0" rank="0" text="" dxfId="4">
      <formula>MOD(ROW(),2)=1</formula>
    </cfRule>
  </conditionalFormatting>
  <conditionalFormatting sqref="L5:L20">
    <cfRule type="containsText" priority="3" operator="containsText" aboveAverage="0" equalAverage="0" bottom="0" percent="0" rank="0" text="Current and Verified" dxfId="5">
      <formula>NOT(ISERROR(SEARCH("Current and Verified",L5)))</formula>
    </cfRule>
    <cfRule type="containsText" priority="4" operator="containsText" aboveAverage="0" equalAverage="0" bottom="0" percent="0" rank="0" text="Alignment Review" dxfId="6">
      <formula>NOT(ISERROR(SEARCH("Alignment Review",L5)))</formula>
    </cfRule>
  </conditionalFormatting>
  <dataValidations count="1">
    <dataValidation allowBlank="false" errorStyle="stop" operator="between" showDropDown="false" showErrorMessage="false" showInputMessage="false" sqref="L5:L20" type="list">
      <formula1>"Current and Verified,Alignment Review,Developer Action,Institution Approval,Blocked"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56"/>
    <col collapsed="false" customWidth="true" hidden="false" outlineLevel="0" max="6" min="6" style="0" width="46"/>
    <col collapsed="false" customWidth="true" hidden="false" outlineLevel="0" max="7" min="7" style="0" width="23"/>
    <col collapsed="false" customWidth="true" hidden="false" outlineLevel="0" max="8" min="8" style="0" width="21"/>
    <col collapsed="false" customWidth="true" hidden="false" outlineLevel="0" max="10" min="9" style="0" width="39"/>
  </cols>
  <sheetData>
    <row r="1" customFormat="false" ht="34" hidden="false" customHeight="true" outlineLevel="0" collapsed="false">
      <c r="A1" s="1" t="s">
        <v>165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" hidden="false" customHeight="true" outlineLevel="0" collapsed="false">
      <c r="A2" s="2" t="s">
        <v>166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2" hidden="false" customHeight="true" outlineLevel="0" collapsed="false">
      <c r="A4" s="3" t="s">
        <v>167</v>
      </c>
      <c r="B4" s="3" t="s">
        <v>168</v>
      </c>
      <c r="C4" s="3" t="s">
        <v>169</v>
      </c>
      <c r="D4" s="3" t="s">
        <v>170</v>
      </c>
      <c r="E4" s="3" t="s">
        <v>171</v>
      </c>
      <c r="F4" s="3" t="s">
        <v>172</v>
      </c>
      <c r="G4" s="3" t="s">
        <v>173</v>
      </c>
      <c r="H4" s="3" t="s">
        <v>5</v>
      </c>
      <c r="I4" s="3" t="s">
        <v>174</v>
      </c>
      <c r="J4" s="3" t="s">
        <v>175</v>
      </c>
    </row>
    <row r="5" customFormat="false" ht="58" hidden="false" customHeight="true" outlineLevel="0" collapsed="false">
      <c r="A5" s="4" t="s">
        <v>176</v>
      </c>
      <c r="B5" s="6" t="s">
        <v>177</v>
      </c>
      <c r="C5" s="6" t="s">
        <v>178</v>
      </c>
      <c r="D5" s="6" t="s">
        <v>179</v>
      </c>
      <c r="E5" s="6" t="s">
        <v>180</v>
      </c>
      <c r="F5" s="6" t="s">
        <v>181</v>
      </c>
      <c r="G5" s="6" t="s">
        <v>58</v>
      </c>
      <c r="H5" s="6" t="s">
        <v>9</v>
      </c>
      <c r="I5" s="6" t="s">
        <v>182</v>
      </c>
      <c r="J5" s="5" t="s">
        <v>183</v>
      </c>
    </row>
    <row r="6" customFormat="false" ht="58" hidden="false" customHeight="true" outlineLevel="0" collapsed="false">
      <c r="A6" s="7" t="s">
        <v>184</v>
      </c>
      <c r="B6" s="9" t="s">
        <v>177</v>
      </c>
      <c r="C6" s="9" t="s">
        <v>185</v>
      </c>
      <c r="D6" s="9" t="s">
        <v>186</v>
      </c>
      <c r="E6" s="9" t="s">
        <v>180</v>
      </c>
      <c r="F6" s="9" t="s">
        <v>187</v>
      </c>
      <c r="G6" s="9" t="s">
        <v>58</v>
      </c>
      <c r="H6" s="9" t="s">
        <v>9</v>
      </c>
      <c r="I6" s="9" t="s">
        <v>188</v>
      </c>
      <c r="J6" s="8" t="s">
        <v>183</v>
      </c>
    </row>
    <row r="7" customFormat="false" ht="58" hidden="false" customHeight="true" outlineLevel="0" collapsed="false">
      <c r="A7" s="7" t="s">
        <v>189</v>
      </c>
      <c r="B7" s="9" t="s">
        <v>190</v>
      </c>
      <c r="C7" s="9" t="s">
        <v>191</v>
      </c>
      <c r="D7" s="9" t="s">
        <v>67</v>
      </c>
      <c r="E7" s="9" t="s">
        <v>75</v>
      </c>
      <c r="F7" s="9" t="s">
        <v>192</v>
      </c>
      <c r="G7" s="9" t="s">
        <v>193</v>
      </c>
      <c r="H7" s="9" t="s">
        <v>13</v>
      </c>
      <c r="I7" s="9" t="s">
        <v>194</v>
      </c>
      <c r="J7" s="8" t="s">
        <v>195</v>
      </c>
    </row>
    <row r="8" customFormat="false" ht="58" hidden="false" customHeight="true" outlineLevel="0" collapsed="false">
      <c r="A8" s="7" t="s">
        <v>196</v>
      </c>
      <c r="B8" s="9" t="s">
        <v>190</v>
      </c>
      <c r="C8" s="9" t="s">
        <v>197</v>
      </c>
      <c r="D8" s="9" t="s">
        <v>198</v>
      </c>
      <c r="E8" s="9" t="s">
        <v>90</v>
      </c>
      <c r="F8" s="9" t="s">
        <v>199</v>
      </c>
      <c r="G8" s="9" t="s">
        <v>193</v>
      </c>
      <c r="H8" s="9" t="s">
        <v>13</v>
      </c>
      <c r="I8" s="9" t="s">
        <v>194</v>
      </c>
      <c r="J8" s="8" t="s">
        <v>195</v>
      </c>
    </row>
    <row r="9" customFormat="false" ht="58" hidden="false" customHeight="true" outlineLevel="0" collapsed="false">
      <c r="A9" s="7" t="s">
        <v>200</v>
      </c>
      <c r="B9" s="9" t="s">
        <v>190</v>
      </c>
      <c r="C9" s="9" t="s">
        <v>201</v>
      </c>
      <c r="D9" s="9" t="s">
        <v>202</v>
      </c>
      <c r="E9" s="9" t="s">
        <v>102</v>
      </c>
      <c r="F9" s="9" t="s">
        <v>203</v>
      </c>
      <c r="G9" s="9" t="s">
        <v>193</v>
      </c>
      <c r="H9" s="9" t="s">
        <v>13</v>
      </c>
      <c r="I9" s="9" t="s">
        <v>204</v>
      </c>
      <c r="J9" s="8" t="s">
        <v>195</v>
      </c>
    </row>
    <row r="10" customFormat="false" ht="58" hidden="false" customHeight="true" outlineLevel="0" collapsed="false">
      <c r="A10" s="7" t="s">
        <v>205</v>
      </c>
      <c r="B10" s="9" t="s">
        <v>190</v>
      </c>
      <c r="C10" s="9" t="s">
        <v>206</v>
      </c>
      <c r="D10" s="9" t="s">
        <v>207</v>
      </c>
      <c r="E10" s="9" t="s">
        <v>114</v>
      </c>
      <c r="F10" s="9" t="s">
        <v>208</v>
      </c>
      <c r="G10" s="9" t="s">
        <v>193</v>
      </c>
      <c r="H10" s="9" t="s">
        <v>17</v>
      </c>
      <c r="I10" s="9" t="s">
        <v>209</v>
      </c>
      <c r="J10" s="8" t="s">
        <v>195</v>
      </c>
    </row>
    <row r="11" customFormat="false" ht="58" hidden="false" customHeight="true" outlineLevel="0" collapsed="false">
      <c r="A11" s="7" t="s">
        <v>210</v>
      </c>
      <c r="B11" s="9" t="s">
        <v>190</v>
      </c>
      <c r="C11" s="9" t="s">
        <v>211</v>
      </c>
      <c r="D11" s="9" t="s">
        <v>121</v>
      </c>
      <c r="E11" s="9" t="s">
        <v>126</v>
      </c>
      <c r="F11" s="9" t="s">
        <v>212</v>
      </c>
      <c r="G11" s="9" t="s">
        <v>193</v>
      </c>
      <c r="H11" s="9" t="s">
        <v>13</v>
      </c>
      <c r="I11" s="9" t="s">
        <v>213</v>
      </c>
      <c r="J11" s="8" t="s">
        <v>195</v>
      </c>
    </row>
    <row r="12" customFormat="false" ht="58" hidden="false" customHeight="true" outlineLevel="0" collapsed="false">
      <c r="A12" s="7" t="s">
        <v>214</v>
      </c>
      <c r="B12" s="9" t="s">
        <v>190</v>
      </c>
      <c r="C12" s="9" t="s">
        <v>215</v>
      </c>
      <c r="D12" s="9" t="s">
        <v>133</v>
      </c>
      <c r="E12" s="9" t="s">
        <v>138</v>
      </c>
      <c r="F12" s="9" t="s">
        <v>216</v>
      </c>
      <c r="G12" s="9" t="s">
        <v>193</v>
      </c>
      <c r="H12" s="9" t="s">
        <v>17</v>
      </c>
      <c r="I12" s="9" t="s">
        <v>217</v>
      </c>
      <c r="J12" s="8" t="s">
        <v>195</v>
      </c>
    </row>
    <row r="13" customFormat="false" ht="58" hidden="false" customHeight="true" outlineLevel="0" collapsed="false">
      <c r="A13" s="7" t="s">
        <v>218</v>
      </c>
      <c r="B13" s="9" t="s">
        <v>219</v>
      </c>
      <c r="C13" s="9" t="s">
        <v>220</v>
      </c>
      <c r="D13" s="9" t="s">
        <v>221</v>
      </c>
      <c r="E13" s="9" t="s">
        <v>153</v>
      </c>
      <c r="F13" s="9" t="s">
        <v>222</v>
      </c>
      <c r="G13" s="9" t="s">
        <v>193</v>
      </c>
      <c r="H13" s="9" t="s">
        <v>17</v>
      </c>
      <c r="I13" s="9" t="s">
        <v>223</v>
      </c>
      <c r="J13" s="8" t="s">
        <v>224</v>
      </c>
    </row>
    <row r="14" customFormat="false" ht="58" hidden="false" customHeight="true" outlineLevel="0" collapsed="false">
      <c r="A14" s="10" t="s">
        <v>225</v>
      </c>
      <c r="B14" s="12" t="s">
        <v>219</v>
      </c>
      <c r="C14" s="12" t="s">
        <v>226</v>
      </c>
      <c r="D14" s="12" t="s">
        <v>227</v>
      </c>
      <c r="E14" s="12" t="s">
        <v>163</v>
      </c>
      <c r="F14" s="12" t="s">
        <v>228</v>
      </c>
      <c r="G14" s="12" t="s">
        <v>193</v>
      </c>
      <c r="H14" s="12" t="s">
        <v>9</v>
      </c>
      <c r="I14" s="12" t="s">
        <v>229</v>
      </c>
      <c r="J14" s="13" t="s">
        <v>230</v>
      </c>
    </row>
  </sheetData>
  <mergeCells count="2">
    <mergeCell ref="A1:J1"/>
    <mergeCell ref="A2:J2"/>
  </mergeCells>
  <conditionalFormatting sqref="A5:J14">
    <cfRule type="expression" priority="2" aboveAverage="0" equalAverage="0" bottom="0" percent="0" rank="0" text="" dxfId="7">
      <formula>MOD(ROW(),2)=1</formula>
    </cfRule>
  </conditionalFormatting>
  <conditionalFormatting sqref="G5:G14">
    <cfRule type="containsText" priority="3" operator="containsText" aboveAverage="0" equalAverage="0" bottom="0" percent="0" rank="0" text="Regenerated and Verified" dxfId="8">
      <formula>NOT(ISERROR(SEARCH("Regenerated and Verified",G5)))</formula>
    </cfRule>
    <cfRule type="containsText" priority="4" operator="containsText" aboveAverage="0" equalAverage="0" bottom="0" percent="0" rank="0" text="Alignment Review" dxfId="9">
      <formula>NOT(ISERROR(SEARCH("Alignment Review",G5)))</formula>
    </cfRule>
  </conditionalFormatting>
  <dataValidations count="1">
    <dataValidation allowBlank="false" errorStyle="stop" operator="between" showDropDown="false" showErrorMessage="false" showInputMessage="false" sqref="G5:G14" type="list">
      <formula1>"Regenerated and Verified,Alignment Review,Developer Action,Institution Approval,Blocked,Superseded"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3"/>
    <col collapsed="false" customWidth="true" hidden="false" outlineLevel="0" max="3" min="3" style="0" width="27"/>
    <col collapsed="false" customWidth="true" hidden="false" outlineLevel="0" max="5" min="4" style="0" width="31"/>
    <col collapsed="false" customWidth="true" hidden="false" outlineLevel="0" max="6" min="6" style="0" width="44"/>
    <col collapsed="false" customWidth="true" hidden="false" outlineLevel="0" max="7" min="7" style="0" width="33"/>
    <col collapsed="false" customWidth="true" hidden="false" outlineLevel="0" max="8" min="8" style="0" width="23"/>
    <col collapsed="false" customWidth="true" hidden="false" outlineLevel="0" max="9" min="9" style="0" width="15"/>
  </cols>
  <sheetData>
    <row r="1" customFormat="false" ht="34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</row>
    <row r="2" customFormat="false" ht="27" hidden="false" customHeight="true" outlineLevel="0" collapsed="false">
      <c r="A2" s="2" t="s">
        <v>232</v>
      </c>
      <c r="B2" s="2"/>
      <c r="C2" s="2"/>
      <c r="D2" s="2"/>
      <c r="E2" s="2"/>
      <c r="F2" s="2"/>
      <c r="G2" s="2"/>
      <c r="H2" s="2"/>
      <c r="I2" s="2"/>
    </row>
    <row r="4" customFormat="false" ht="32" hidden="false" customHeight="true" outlineLevel="0" collapsed="false">
      <c r="A4" s="3" t="s">
        <v>233</v>
      </c>
      <c r="B4" s="3" t="s">
        <v>234</v>
      </c>
      <c r="C4" s="3" t="s">
        <v>235</v>
      </c>
      <c r="D4" s="3" t="s">
        <v>236</v>
      </c>
      <c r="E4" s="3" t="s">
        <v>237</v>
      </c>
      <c r="F4" s="3" t="s">
        <v>238</v>
      </c>
      <c r="G4" s="3" t="s">
        <v>239</v>
      </c>
      <c r="H4" s="3" t="s">
        <v>5</v>
      </c>
      <c r="I4" s="3" t="s">
        <v>6</v>
      </c>
    </row>
    <row r="5" customFormat="false" ht="68" hidden="false" customHeight="true" outlineLevel="0" collapsed="false">
      <c r="A5" s="4" t="s">
        <v>240</v>
      </c>
      <c r="B5" s="6" t="s">
        <v>241</v>
      </c>
      <c r="C5" s="6" t="s">
        <v>242</v>
      </c>
      <c r="D5" s="6" t="s">
        <v>243</v>
      </c>
      <c r="E5" s="6" t="s">
        <v>244</v>
      </c>
      <c r="F5" s="6" t="s">
        <v>245</v>
      </c>
      <c r="G5" s="6" t="s">
        <v>246</v>
      </c>
      <c r="H5" s="6" t="s">
        <v>247</v>
      </c>
      <c r="I5" s="5" t="s">
        <v>10</v>
      </c>
    </row>
    <row r="6" customFormat="false" ht="68" hidden="false" customHeight="true" outlineLevel="0" collapsed="false">
      <c r="A6" s="7" t="s">
        <v>248</v>
      </c>
      <c r="B6" s="9" t="s">
        <v>249</v>
      </c>
      <c r="C6" s="9" t="s">
        <v>250</v>
      </c>
      <c r="D6" s="9" t="s">
        <v>251</v>
      </c>
      <c r="E6" s="9" t="s">
        <v>252</v>
      </c>
      <c r="F6" s="9" t="s">
        <v>253</v>
      </c>
      <c r="G6" s="9" t="s">
        <v>254</v>
      </c>
      <c r="H6" s="9" t="s">
        <v>17</v>
      </c>
      <c r="I6" s="8" t="s">
        <v>10</v>
      </c>
    </row>
    <row r="7" customFormat="false" ht="68" hidden="false" customHeight="true" outlineLevel="0" collapsed="false">
      <c r="A7" s="7" t="s">
        <v>255</v>
      </c>
      <c r="B7" s="9" t="s">
        <v>256</v>
      </c>
      <c r="C7" s="9" t="s">
        <v>257</v>
      </c>
      <c r="D7" s="9" t="s">
        <v>258</v>
      </c>
      <c r="E7" s="9" t="s">
        <v>259</v>
      </c>
      <c r="F7" s="9" t="s">
        <v>260</v>
      </c>
      <c r="G7" s="9" t="s">
        <v>261</v>
      </c>
      <c r="H7" s="9" t="s">
        <v>262</v>
      </c>
      <c r="I7" s="8" t="s">
        <v>10</v>
      </c>
    </row>
    <row r="8" customFormat="false" ht="68" hidden="false" customHeight="true" outlineLevel="0" collapsed="false">
      <c r="A8" s="7" t="s">
        <v>263</v>
      </c>
      <c r="B8" s="9" t="s">
        <v>264</v>
      </c>
      <c r="C8" s="9" t="s">
        <v>265</v>
      </c>
      <c r="D8" s="9" t="s">
        <v>266</v>
      </c>
      <c r="E8" s="9" t="s">
        <v>267</v>
      </c>
      <c r="F8" s="9" t="s">
        <v>268</v>
      </c>
      <c r="G8" s="9" t="s">
        <v>269</v>
      </c>
      <c r="H8" s="9" t="s">
        <v>270</v>
      </c>
      <c r="I8" s="8" t="s">
        <v>10</v>
      </c>
    </row>
    <row r="9" customFormat="false" ht="68" hidden="false" customHeight="true" outlineLevel="0" collapsed="false">
      <c r="A9" s="7" t="s">
        <v>271</v>
      </c>
      <c r="B9" s="9" t="s">
        <v>272</v>
      </c>
      <c r="C9" s="9" t="s">
        <v>273</v>
      </c>
      <c r="D9" s="9" t="s">
        <v>274</v>
      </c>
      <c r="E9" s="9" t="s">
        <v>275</v>
      </c>
      <c r="F9" s="9" t="s">
        <v>276</v>
      </c>
      <c r="G9" s="9" t="s">
        <v>277</v>
      </c>
      <c r="H9" s="9" t="s">
        <v>270</v>
      </c>
      <c r="I9" s="8" t="s">
        <v>10</v>
      </c>
    </row>
    <row r="10" customFormat="false" ht="68" hidden="false" customHeight="true" outlineLevel="0" collapsed="false">
      <c r="A10" s="7" t="s">
        <v>278</v>
      </c>
      <c r="B10" s="9" t="s">
        <v>279</v>
      </c>
      <c r="C10" s="9" t="s">
        <v>280</v>
      </c>
      <c r="D10" s="9" t="s">
        <v>281</v>
      </c>
      <c r="E10" s="9" t="s">
        <v>282</v>
      </c>
      <c r="F10" s="9" t="s">
        <v>283</v>
      </c>
      <c r="G10" s="9" t="s">
        <v>284</v>
      </c>
      <c r="H10" s="9" t="s">
        <v>17</v>
      </c>
      <c r="I10" s="8" t="s">
        <v>10</v>
      </c>
    </row>
    <row r="11" customFormat="false" ht="68" hidden="false" customHeight="true" outlineLevel="0" collapsed="false">
      <c r="A11" s="7" t="s">
        <v>285</v>
      </c>
      <c r="B11" s="9" t="s">
        <v>286</v>
      </c>
      <c r="C11" s="9" t="s">
        <v>287</v>
      </c>
      <c r="D11" s="9" t="s">
        <v>288</v>
      </c>
      <c r="E11" s="9" t="s">
        <v>289</v>
      </c>
      <c r="F11" s="9" t="s">
        <v>290</v>
      </c>
      <c r="G11" s="9" t="s">
        <v>291</v>
      </c>
      <c r="H11" s="9" t="s">
        <v>270</v>
      </c>
      <c r="I11" s="8" t="s">
        <v>10</v>
      </c>
    </row>
    <row r="12" customFormat="false" ht="68" hidden="false" customHeight="true" outlineLevel="0" collapsed="false">
      <c r="A12" s="7" t="s">
        <v>292</v>
      </c>
      <c r="B12" s="9" t="s">
        <v>293</v>
      </c>
      <c r="C12" s="9" t="s">
        <v>294</v>
      </c>
      <c r="D12" s="9" t="s">
        <v>295</v>
      </c>
      <c r="E12" s="9" t="s">
        <v>296</v>
      </c>
      <c r="F12" s="9" t="s">
        <v>297</v>
      </c>
      <c r="G12" s="9" t="s">
        <v>298</v>
      </c>
      <c r="H12" s="9" t="s">
        <v>299</v>
      </c>
      <c r="I12" s="8" t="s">
        <v>10</v>
      </c>
    </row>
    <row r="13" customFormat="false" ht="68" hidden="false" customHeight="true" outlineLevel="0" collapsed="false">
      <c r="A13" s="7" t="s">
        <v>300</v>
      </c>
      <c r="B13" s="9" t="s">
        <v>301</v>
      </c>
      <c r="C13" s="9" t="s">
        <v>302</v>
      </c>
      <c r="D13" s="9" t="s">
        <v>303</v>
      </c>
      <c r="E13" s="9" t="s">
        <v>304</v>
      </c>
      <c r="F13" s="9" t="s">
        <v>305</v>
      </c>
      <c r="G13" s="9" t="s">
        <v>306</v>
      </c>
      <c r="H13" s="9" t="s">
        <v>17</v>
      </c>
      <c r="I13" s="8" t="s">
        <v>10</v>
      </c>
    </row>
    <row r="14" customFormat="false" ht="68" hidden="false" customHeight="true" outlineLevel="0" collapsed="false">
      <c r="A14" s="7" t="s">
        <v>307</v>
      </c>
      <c r="B14" s="9" t="s">
        <v>308</v>
      </c>
      <c r="C14" s="9" t="s">
        <v>309</v>
      </c>
      <c r="D14" s="9" t="s">
        <v>310</v>
      </c>
      <c r="E14" s="9" t="s">
        <v>311</v>
      </c>
      <c r="F14" s="9" t="s">
        <v>312</v>
      </c>
      <c r="G14" s="9" t="s">
        <v>313</v>
      </c>
      <c r="H14" s="9" t="s">
        <v>9</v>
      </c>
      <c r="I14" s="8" t="s">
        <v>10</v>
      </c>
    </row>
    <row r="15" customFormat="false" ht="68" hidden="false" customHeight="true" outlineLevel="0" collapsed="false">
      <c r="A15" s="7" t="s">
        <v>314</v>
      </c>
      <c r="B15" s="9" t="s">
        <v>315</v>
      </c>
      <c r="C15" s="9" t="s">
        <v>316</v>
      </c>
      <c r="D15" s="9" t="s">
        <v>317</v>
      </c>
      <c r="E15" s="9" t="s">
        <v>318</v>
      </c>
      <c r="F15" s="9" t="s">
        <v>319</v>
      </c>
      <c r="G15" s="9" t="s">
        <v>320</v>
      </c>
      <c r="H15" s="9" t="s">
        <v>31</v>
      </c>
      <c r="I15" s="8" t="s">
        <v>10</v>
      </c>
    </row>
    <row r="16" customFormat="false" ht="68" hidden="false" customHeight="true" outlineLevel="0" collapsed="false">
      <c r="A16" s="10" t="s">
        <v>321</v>
      </c>
      <c r="B16" s="12" t="s">
        <v>322</v>
      </c>
      <c r="C16" s="12" t="s">
        <v>323</v>
      </c>
      <c r="D16" s="12" t="s">
        <v>324</v>
      </c>
      <c r="E16" s="12" t="s">
        <v>325</v>
      </c>
      <c r="F16" s="12" t="s">
        <v>326</v>
      </c>
      <c r="G16" s="12" t="s">
        <v>327</v>
      </c>
      <c r="H16" s="12" t="s">
        <v>328</v>
      </c>
      <c r="I16" s="13" t="s">
        <v>10</v>
      </c>
    </row>
  </sheetData>
  <mergeCells count="2">
    <mergeCell ref="A1:I1"/>
    <mergeCell ref="A2:I2"/>
  </mergeCells>
  <conditionalFormatting sqref="A5:I16">
    <cfRule type="expression" priority="2" aboveAverage="0" equalAverage="0" bottom="0" percent="0" rank="0" text="" dxfId="10">
      <formula>MOD(ROW(),2)=1</formula>
    </cfRule>
  </conditionalFormatting>
  <conditionalFormatting sqref="I5:I16">
    <cfRule type="containsText" priority="3" operator="containsText" aboveAverage="0" equalAverage="0" bottom="0" percent="0" rank="0" text="Passed" dxfId="11">
      <formula>NOT(ISERROR(SEARCH("Passed",I5)))</formula>
    </cfRule>
    <cfRule type="containsText" priority="4" operator="containsText" aboveAverage="0" equalAverage="0" bottom="0" percent="0" rank="0" text="Blocked" dxfId="12">
      <formula>NOT(ISERROR(SEARCH("Blocked",I5)))</formula>
    </cfRule>
  </conditionalFormatting>
  <dataValidations count="1">
    <dataValidation allowBlank="false" errorStyle="stop" operator="between" showDropDown="false" showErrorMessage="false" showInputMessage="false" sqref="I5:I16" type="list">
      <formula1>"Open,In Progress,Passed,Blocked,Not Applicable"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"/>
    <col collapsed="false" customWidth="true" hidden="false" outlineLevel="0" max="3" min="3" style="0" width="52"/>
    <col collapsed="false" customWidth="true" hidden="false" outlineLevel="0" max="4" min="4" style="0" width="45"/>
    <col collapsed="false" customWidth="true" hidden="false" outlineLevel="0" max="5" min="5" style="0" width="29"/>
    <col collapsed="false" customWidth="true" hidden="false" outlineLevel="0" max="6" min="6" style="0" width="22"/>
  </cols>
  <sheetData>
    <row r="1" customFormat="false" ht="34" hidden="false" customHeight="true" outlineLevel="0" collapsed="false">
      <c r="A1" s="1" t="s">
        <v>329</v>
      </c>
      <c r="B1" s="1"/>
      <c r="C1" s="1"/>
      <c r="D1" s="1"/>
      <c r="E1" s="1"/>
      <c r="F1" s="1"/>
    </row>
    <row r="2" customFormat="false" ht="27" hidden="false" customHeight="true" outlineLevel="0" collapsed="false">
      <c r="A2" s="2" t="s">
        <v>330</v>
      </c>
      <c r="B2" s="2"/>
      <c r="C2" s="2"/>
      <c r="D2" s="2"/>
      <c r="E2" s="2"/>
      <c r="F2" s="2"/>
    </row>
    <row r="4" customFormat="false" ht="32" hidden="false" customHeight="true" outlineLevel="0" collapsed="false">
      <c r="A4" s="3" t="s">
        <v>331</v>
      </c>
      <c r="B4" s="3" t="s">
        <v>332</v>
      </c>
      <c r="C4" s="3" t="s">
        <v>333</v>
      </c>
      <c r="D4" s="3" t="s">
        <v>334</v>
      </c>
      <c r="E4" s="3" t="s">
        <v>335</v>
      </c>
      <c r="F4" s="3" t="s">
        <v>336</v>
      </c>
    </row>
    <row r="5" customFormat="false" ht="55" hidden="false" customHeight="true" outlineLevel="0" collapsed="false">
      <c r="A5" s="4" t="s">
        <v>337</v>
      </c>
      <c r="B5" s="6" t="s">
        <v>338</v>
      </c>
      <c r="C5" s="6" t="s">
        <v>339</v>
      </c>
      <c r="D5" s="6" t="s">
        <v>340</v>
      </c>
      <c r="E5" s="6" t="s">
        <v>341</v>
      </c>
      <c r="F5" s="5" t="s">
        <v>342</v>
      </c>
    </row>
    <row r="6" customFormat="false" ht="55" hidden="false" customHeight="true" outlineLevel="0" collapsed="false">
      <c r="A6" s="7" t="s">
        <v>343</v>
      </c>
      <c r="B6" s="9" t="s">
        <v>344</v>
      </c>
      <c r="C6" s="9" t="s">
        <v>345</v>
      </c>
      <c r="D6" s="9" t="s">
        <v>346</v>
      </c>
      <c r="E6" s="9" t="s">
        <v>347</v>
      </c>
      <c r="F6" s="8" t="s">
        <v>342</v>
      </c>
    </row>
    <row r="7" customFormat="false" ht="55" hidden="false" customHeight="true" outlineLevel="0" collapsed="false">
      <c r="A7" s="7" t="s">
        <v>348</v>
      </c>
      <c r="B7" s="9" t="s">
        <v>349</v>
      </c>
      <c r="C7" s="9" t="s">
        <v>350</v>
      </c>
      <c r="D7" s="9" t="s">
        <v>351</v>
      </c>
      <c r="E7" s="9" t="s">
        <v>9</v>
      </c>
      <c r="F7" s="8" t="s">
        <v>342</v>
      </c>
    </row>
    <row r="8" customFormat="false" ht="55" hidden="false" customHeight="true" outlineLevel="0" collapsed="false">
      <c r="A8" s="7" t="s">
        <v>352</v>
      </c>
      <c r="B8" s="9" t="s">
        <v>353</v>
      </c>
      <c r="C8" s="9" t="s">
        <v>354</v>
      </c>
      <c r="D8" s="9" t="s">
        <v>355</v>
      </c>
      <c r="E8" s="9" t="s">
        <v>347</v>
      </c>
      <c r="F8" s="8" t="s">
        <v>342</v>
      </c>
    </row>
    <row r="9" customFormat="false" ht="55" hidden="false" customHeight="true" outlineLevel="0" collapsed="false">
      <c r="A9" s="7" t="s">
        <v>356</v>
      </c>
      <c r="B9" s="9" t="s">
        <v>40</v>
      </c>
      <c r="C9" s="9" t="s">
        <v>357</v>
      </c>
      <c r="D9" s="9" t="s">
        <v>358</v>
      </c>
      <c r="E9" s="9" t="s">
        <v>299</v>
      </c>
      <c r="F9" s="8" t="s">
        <v>342</v>
      </c>
    </row>
    <row r="10" customFormat="false" ht="55" hidden="false" customHeight="true" outlineLevel="0" collapsed="false">
      <c r="A10" s="7" t="s">
        <v>359</v>
      </c>
      <c r="B10" s="9" t="s">
        <v>360</v>
      </c>
      <c r="C10" s="9" t="s">
        <v>361</v>
      </c>
      <c r="D10" s="9" t="s">
        <v>362</v>
      </c>
      <c r="E10" s="9" t="s">
        <v>17</v>
      </c>
      <c r="F10" s="8" t="s">
        <v>342</v>
      </c>
    </row>
    <row r="11" customFormat="false" ht="55" hidden="false" customHeight="true" outlineLevel="0" collapsed="false">
      <c r="A11" s="7" t="s">
        <v>363</v>
      </c>
      <c r="B11" s="9" t="s">
        <v>364</v>
      </c>
      <c r="C11" s="9" t="s">
        <v>365</v>
      </c>
      <c r="D11" s="9" t="s">
        <v>366</v>
      </c>
      <c r="E11" s="9" t="s">
        <v>9</v>
      </c>
      <c r="F11" s="8" t="s">
        <v>342</v>
      </c>
    </row>
    <row r="12" customFormat="false" ht="55" hidden="false" customHeight="true" outlineLevel="0" collapsed="false">
      <c r="A12" s="7" t="s">
        <v>367</v>
      </c>
      <c r="B12" s="9" t="s">
        <v>368</v>
      </c>
      <c r="C12" s="9" t="s">
        <v>369</v>
      </c>
      <c r="D12" s="9" t="s">
        <v>370</v>
      </c>
      <c r="E12" s="9" t="s">
        <v>371</v>
      </c>
      <c r="F12" s="8" t="s">
        <v>342</v>
      </c>
    </row>
    <row r="13" customFormat="false" ht="55" hidden="false" customHeight="true" outlineLevel="0" collapsed="false">
      <c r="A13" s="7" t="s">
        <v>372</v>
      </c>
      <c r="B13" s="9" t="s">
        <v>373</v>
      </c>
      <c r="C13" s="9" t="s">
        <v>374</v>
      </c>
      <c r="D13" s="9" t="s">
        <v>375</v>
      </c>
      <c r="E13" s="9" t="s">
        <v>376</v>
      </c>
      <c r="F13" s="8" t="s">
        <v>377</v>
      </c>
    </row>
    <row r="14" customFormat="false" ht="55" hidden="false" customHeight="true" outlineLevel="0" collapsed="false">
      <c r="A14" s="7" t="s">
        <v>378</v>
      </c>
      <c r="B14" s="9" t="s">
        <v>379</v>
      </c>
      <c r="C14" s="9" t="s">
        <v>380</v>
      </c>
      <c r="D14" s="9" t="s">
        <v>381</v>
      </c>
      <c r="E14" s="9" t="s">
        <v>371</v>
      </c>
      <c r="F14" s="8" t="s">
        <v>342</v>
      </c>
    </row>
    <row r="15" customFormat="false" ht="55" hidden="false" customHeight="true" outlineLevel="0" collapsed="false">
      <c r="A15" s="7" t="s">
        <v>382</v>
      </c>
      <c r="B15" s="9" t="s">
        <v>383</v>
      </c>
      <c r="C15" s="9" t="s">
        <v>384</v>
      </c>
      <c r="D15" s="9" t="s">
        <v>385</v>
      </c>
      <c r="E15" s="9" t="s">
        <v>386</v>
      </c>
      <c r="F15" s="8" t="s">
        <v>377</v>
      </c>
    </row>
    <row r="16" customFormat="false" ht="55" hidden="false" customHeight="true" outlineLevel="0" collapsed="false">
      <c r="A16" s="10" t="s">
        <v>387</v>
      </c>
      <c r="B16" s="12" t="s">
        <v>388</v>
      </c>
      <c r="C16" s="12" t="s">
        <v>389</v>
      </c>
      <c r="D16" s="12" t="s">
        <v>390</v>
      </c>
      <c r="E16" s="12" t="s">
        <v>9</v>
      </c>
      <c r="F16" s="13" t="s">
        <v>342</v>
      </c>
    </row>
  </sheetData>
  <mergeCells count="2">
    <mergeCell ref="A1:F1"/>
    <mergeCell ref="A2:F2"/>
  </mergeCells>
  <conditionalFormatting sqref="A5:F16">
    <cfRule type="expression" priority="2" aboveAverage="0" equalAverage="0" bottom="0" percent="0" rank="0" text="" dxfId="13">
      <formula>MOD(ROW(),2)=1</formula>
    </cfRule>
  </conditionalFormatting>
  <conditionalFormatting sqref="F5:F16">
    <cfRule type="containsText" priority="3" operator="containsText" aboveAverage="0" equalAverage="0" bottom="0" percent="0" rank="0" text="Locked" dxfId="14">
      <formula>NOT(ISERROR(SEARCH("Locked",F5)))</formula>
    </cfRule>
    <cfRule type="containsText" priority="4" operator="containsText" aboveAverage="0" equalAverage="0" bottom="0" percent="0" rank="0" text="Governance Approval" dxfId="15">
      <formula>NOT(ISERROR(SEARCH("Governance Approval",F5)))</formula>
    </cfRule>
  </conditionalFormatting>
  <dataValidations count="1">
    <dataValidation allowBlank="false" errorStyle="stop" operator="between" showDropDown="false" showErrorMessage="false" showInputMessage="false" sqref="F5:F16" type="list">
      <formula1>"Locked,Governance Approval,Open,Superseded"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24"/>
    <col collapsed="false" customWidth="true" hidden="false" outlineLevel="0" max="6" min="6" style="0" width="42"/>
  </cols>
  <sheetData>
    <row r="1" customFormat="false" ht="34" hidden="false" customHeight="true" outlineLevel="0" collapsed="false">
      <c r="A1" s="1" t="s">
        <v>391</v>
      </c>
      <c r="B1" s="1"/>
      <c r="C1" s="1"/>
      <c r="D1" s="1"/>
      <c r="E1" s="1"/>
      <c r="F1" s="1"/>
    </row>
    <row r="2" customFormat="false" ht="27" hidden="false" customHeight="true" outlineLevel="0" collapsed="false">
      <c r="A2" s="2" t="s">
        <v>392</v>
      </c>
      <c r="B2" s="2"/>
      <c r="C2" s="2"/>
      <c r="D2" s="2"/>
      <c r="E2" s="2"/>
      <c r="F2" s="2"/>
    </row>
    <row r="4" customFormat="false" ht="32" hidden="false" customHeight="true" outlineLevel="0" collapsed="false">
      <c r="A4" s="3" t="s">
        <v>393</v>
      </c>
      <c r="B4" s="3" t="s">
        <v>394</v>
      </c>
      <c r="C4" s="3" t="s">
        <v>395</v>
      </c>
      <c r="D4" s="3" t="s">
        <v>396</v>
      </c>
      <c r="E4" s="3" t="s">
        <v>5</v>
      </c>
      <c r="F4" s="3" t="s">
        <v>397</v>
      </c>
    </row>
    <row r="5" customFormat="false" ht="32" hidden="false" customHeight="true" outlineLevel="0" collapsed="false">
      <c r="A5" s="4" t="s">
        <v>398</v>
      </c>
      <c r="B5" s="6" t="n">
        <v>16</v>
      </c>
      <c r="C5" s="6" t="n">
        <f aca="false">COUNTA('16-Week Map'!A5:A20)</f>
        <v>16</v>
      </c>
      <c r="D5" s="6" t="str">
        <f aca="false">IF(B5=C5,"PASS","CHECK")</f>
        <v>PASS</v>
      </c>
      <c r="E5" s="6" t="s">
        <v>9</v>
      </c>
      <c r="F5" s="5"/>
    </row>
    <row r="6" customFormat="false" ht="32" hidden="false" customHeight="true" outlineLevel="0" collapsed="false">
      <c r="A6" s="7" t="s">
        <v>399</v>
      </c>
      <c r="B6" s="9" t="n">
        <v>6</v>
      </c>
      <c r="C6" s="9" t="n">
        <f aca="false">COUNTIF('Deliverable Register'!B5:B14,"Module Master")</f>
        <v>6</v>
      </c>
      <c r="D6" s="9" t="str">
        <f aca="false">IF(B6=C6,"PASS","CHECK")</f>
        <v>PASS</v>
      </c>
      <c r="E6" s="9" t="s">
        <v>9</v>
      </c>
      <c r="F6" s="8"/>
    </row>
    <row r="7" customFormat="false" ht="32" hidden="false" customHeight="true" outlineLevel="0" collapsed="false">
      <c r="A7" s="7" t="s">
        <v>400</v>
      </c>
      <c r="B7" s="9" t="n">
        <v>14</v>
      </c>
      <c r="C7" s="9" t="n">
        <f aca="false">COUNTIF('16-Week Map'!L5:L20,"Current and Verified")</f>
        <v>14</v>
      </c>
      <c r="D7" s="9" t="str">
        <f aca="false">IF(B7=C7,"PASS","CHECK")</f>
        <v>PASS</v>
      </c>
      <c r="E7" s="9" t="s">
        <v>13</v>
      </c>
      <c r="F7" s="8"/>
    </row>
    <row r="8" customFormat="false" ht="32" hidden="false" customHeight="true" outlineLevel="0" collapsed="false">
      <c r="A8" s="7" t="s">
        <v>401</v>
      </c>
      <c r="B8" s="9" t="n">
        <v>2</v>
      </c>
      <c r="C8" s="9" t="n">
        <f aca="false">COUNTIF('16-Week Map'!L5:L20,"Alignment Review")</f>
        <v>2</v>
      </c>
      <c r="D8" s="9" t="str">
        <f aca="false">IF(B8=C8,"PASS","CHECK")</f>
        <v>PASS</v>
      </c>
      <c r="E8" s="9" t="s">
        <v>9</v>
      </c>
      <c r="F8" s="8" t="s">
        <v>402</v>
      </c>
    </row>
    <row r="9" customFormat="false" ht="32" hidden="false" customHeight="true" outlineLevel="0" collapsed="false">
      <c r="A9" s="7" t="s">
        <v>403</v>
      </c>
      <c r="B9" s="9" t="n">
        <v>10</v>
      </c>
      <c r="C9" s="9" t="n">
        <f aca="false">COUNTA('Deliverable Register'!A5:A14)</f>
        <v>10</v>
      </c>
      <c r="D9" s="9" t="str">
        <f aca="false">IF(B9=C9,"PASS","CHECK")</f>
        <v>PASS</v>
      </c>
      <c r="E9" s="9" t="s">
        <v>13</v>
      </c>
      <c r="F9" s="8"/>
    </row>
    <row r="10" customFormat="false" ht="32" hidden="false" customHeight="true" outlineLevel="0" collapsed="false">
      <c r="A10" s="7" t="s">
        <v>404</v>
      </c>
      <c r="B10" s="9" t="n">
        <v>8</v>
      </c>
      <c r="C10" s="9" t="n">
        <f aca="false">COUNTIF('Deliverable Register'!G5:G14,"Regenerated and Verified")</f>
        <v>8</v>
      </c>
      <c r="D10" s="9" t="str">
        <f aca="false">IF(B10=C10,"PASS","CHECK")</f>
        <v>PASS</v>
      </c>
      <c r="E10" s="9" t="s">
        <v>13</v>
      </c>
      <c r="F10" s="8"/>
    </row>
    <row r="11" customFormat="false" ht="32" hidden="false" customHeight="true" outlineLevel="0" collapsed="false">
      <c r="A11" s="7" t="s">
        <v>405</v>
      </c>
      <c r="B11" s="9" t="n">
        <v>12</v>
      </c>
      <c r="C11" s="9" t="n">
        <f aca="false">COUNTA('Developer Matrix'!A5:A16)</f>
        <v>12</v>
      </c>
      <c r="D11" s="9" t="str">
        <f aca="false">IF(B11=C11,"PASS","CHECK")</f>
        <v>PASS</v>
      </c>
      <c r="E11" s="9" t="s">
        <v>262</v>
      </c>
      <c r="F11" s="8"/>
    </row>
    <row r="12" customFormat="false" ht="32" hidden="false" customHeight="true" outlineLevel="0" collapsed="false">
      <c r="A12" s="10" t="s">
        <v>406</v>
      </c>
      <c r="B12" s="12" t="n">
        <v>12</v>
      </c>
      <c r="C12" s="12" t="n">
        <f aca="false">COUNTA(Controls!A5:A16)</f>
        <v>12</v>
      </c>
      <c r="D12" s="12" t="str">
        <f aca="false">IF(B12=C12,"PASS","CHECK")</f>
        <v>PASS</v>
      </c>
      <c r="E12" s="12" t="s">
        <v>9</v>
      </c>
      <c r="F12" s="13"/>
    </row>
  </sheetData>
  <mergeCells count="2">
    <mergeCell ref="A1:F1"/>
    <mergeCell ref="A2:F2"/>
  </mergeCells>
  <conditionalFormatting sqref="A5:F12">
    <cfRule type="expression" priority="2" aboveAverage="0" equalAverage="0" bottom="0" percent="0" rank="0" text="" dxfId="16">
      <formula>MOD(ROW(),2)=1</formula>
    </cfRule>
  </conditionalFormatting>
  <conditionalFormatting sqref="D5:D12">
    <cfRule type="containsText" priority="3" operator="containsText" aboveAverage="0" equalAverage="0" bottom="0" percent="0" rank="0" text="PASS" dxfId="17">
      <formula>NOT(ISERROR(SEARCH("PASS",D5)))</formula>
    </cfRule>
    <cfRule type="containsText" priority="4" operator="containsText" aboveAverage="0" equalAverage="0" bottom="0" percent="0" rank="0" text="CHECK" dxfId="18">
      <formula>NOT(ISERROR(SEARCH("CHECK",D5)))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