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81d4674962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c2f5f56d75e4d2e"/>
    <x:sheet xmlns:r="http://schemas.openxmlformats.org/officeDocument/2006/relationships" name="16-Week Map" sheetId="2" r:id="R63b7bab58d494642"/>
    <x:sheet xmlns:r="http://schemas.openxmlformats.org/officeDocument/2006/relationships" name="Deliverable Register" sheetId="3" r:id="Rd6d2794279fa47c2"/>
    <x:sheet xmlns:r="http://schemas.openxmlformats.org/officeDocument/2006/relationships" name="Developer Matrix" sheetId="4" r:id="R79a52bd6c48246c6"/>
    <x:sheet xmlns:r="http://schemas.openxmlformats.org/officeDocument/2006/relationships" name="Controls" sheetId="5" r:id="R17a9b21aae5b40f9"/>
    <x:sheet xmlns:r="http://schemas.openxmlformats.org/officeDocument/2006/relationships" name="Audit" sheetId="6" r:id="Rb33b8decf35d4102"/>
  </x:sheets>
</x:workbook>
</file>

<file path=xl/sharedStrings.xml><?xml version="1.0" encoding="utf-8"?>
<x:sst xmlns:x="http://schemas.openxmlformats.org/spreadsheetml/2006/main">
  <x:si>
    <x:t xml:space="preserve">AERS TRANSFORM v2.0  |  16-WEEK MASTER CONTROL</x:t>
  </x:si>
  <x:si>
    <x:t xml:space="preserve">Current regenerated content, developer handover and launch-readiness view  |  As of 17 September 2026</x:t>
  </x:si>
  <x:si>
    <x:t xml:space="preserve">Programme KPI</x:t>
  </x:si>
  <x:si>
    <x:t xml:space="preserve">Current value</x:t>
  </x:si>
  <x:si>
    <x:t xml:space="preserve">Control Gate</x:t>
  </x:si>
  <x:si>
    <x:t xml:space="preserve">Owner</x:t>
  </x:si>
  <x:si>
    <x:t xml:space="preserve">Status</x:t>
  </x:si>
  <x:si>
    <x:t xml:space="preserve">Programme weeks</x:t>
  </x:si>
  <x:si>
    <x:t xml:space="preserve">Weeks 1–2 source alignment</x:t>
  </x:si>
  <x:si>
    <x:t xml:space="preserve">Programme Owner</x:t>
  </x:si>
  <x:si>
    <x:t xml:space="preserve">Capability modules</x:t>
  </x:si>
  <x:si>
    <x:t xml:space="preserve">Modules 1–6 file lock</x:t>
  </x:si>
  <x:si>
    <x:t xml:space="preserve">Content Owner</x:t>
  </x:si>
  <x:si>
    <x:t xml:space="preserve">Passed</x:t>
  </x:si>
  <x:si>
    <x:t xml:space="preserve">Regenerated module masters</x:t>
  </x:si>
  <x:si>
    <x:t xml:space="preserve">Week 15 demonstration pack</x:t>
  </x:si>
  <x:si>
    <x:t xml:space="preserve">Assessment Lead</x:t>
  </x:si>
  <x:si>
    <x:t xml:space="preserve">Final-stage packs</x:t>
  </x:si>
  <x:si>
    <x:t xml:space="preserve">Week 16 closure pack</x:t>
  </x:si>
  <x:si>
    <x:t xml:space="preserve">Developer ingestion mapping</x:t>
  </x:si>
  <x:si>
    <x:t xml:space="preserve">Product / Developer</x:t>
  </x:si>
  <x:si>
    <x:t xml:space="preserve">Open</x:t>
  </x:si>
  <x:si>
    <x:t xml:space="preserve">Platform workflow UAT</x:t>
  </x:si>
  <x:si>
    <x:t xml:space="preserve">QA Lead</x:t>
  </x:si>
  <x:si>
    <x:t xml:space="preserve">ERI method approval</x:t>
  </x:si>
  <x:si>
    <x:t xml:space="preserve">Authorised AERS Reviewer</x:t>
  </x:si>
  <x:si>
    <x:t xml:space="preserve">Passport release UAT</x:t>
  </x:si>
  <x:si>
    <x:t xml:space="preserve">Programme Owner / QA</x:t>
  </x:si>
  <x:si>
    <x:t xml:space="preserve">GO / NO-GO PRINCIPLE</x:t>
  </x:si>
  <x:si>
    <x:t xml:space="preserve">AERS TRANSFORM v2.0  |  APPROVED 16-WEEK IMPLEMENTATION MAP</x:t>
  </x:si>
  <x:si>
    <x:t xml:space="preserve">Weeks 1–2 assess and personalise  |  Weeks 3–14 six sequential modules  |  Week 15 demonstrate  |  Week 16 decide and progress</x:t>
  </x:si>
  <x:si>
    <x:t xml:space="preserve">Week</x:t>
  </x:si>
  <x:si>
    <x:t xml:space="preserve">Phase / Module</x:t>
  </x:si>
  <x:si>
    <x:t xml:space="preserve">Weekly focus</x:t>
  </x:si>
  <x:si>
    <x:t xml:space="preserve">Platform learning</x:t>
  </x:si>
  <x:si>
    <x:t xml:space="preserve">Guided session</x:t>
  </x:si>
  <x:si>
    <x:t xml:space="preserve">Mandatory evidence / output</x:t>
  </x:si>
  <x:si>
    <x:t xml:space="preserve">Quiz gate</x:t>
  </x:si>
  <x:si>
    <x:t xml:space="preserve">Human-review gate</x:t>
  </x:si>
  <x:si>
    <x:t xml:space="preserve">Progression decision</x:t>
  </x:si>
  <x:si>
    <x:t xml:space="preserve">Primary controlled file</x:t>
  </x:si>
  <x:si>
    <x:t xml:space="preserve">Developer action</x:t>
  </x:si>
  <x:si>
    <x:t xml:space="preserve">File control status</x:t>
  </x:si>
  <x:si>
    <x:t xml:space="preserve">Assess and Personalise</x:t>
  </x:si>
  <x:si>
    <x:t xml:space="preserve">Orientation, profile, consent and baseline assessment</x:t>
  </x:si>
  <x:si>
    <x:t xml:space="preserve">Onboarding, responsible use and baseline instruments</x:t>
  </x:si>
  <x:si>
    <x:t xml:space="preserve">Orientation and platform walkthrough</x:t>
  </x:si>
  <x:si>
    <x:t xml:space="preserve">Consent, learner profile and baseline record</x:t>
  </x:si>
  <x:si>
    <x:t xml:space="preserve">As applicable</x:t>
  </x:si>
  <x:si>
    <x:t xml:space="preserve">Human check for consent, completeness and exceptions</x:t>
  </x:si>
  <x:si>
    <x:t xml:space="preserve">Baseline completed or action required</x:t>
  </x:si>
  <x:si>
    <x:t xml:space="preserve">Baseline interpretation and personalised pathway</x:t>
  </x:si>
  <x:si>
    <x:t xml:space="preserve">Results explanation, self-awareness and priority selection</x:t>
  </x:si>
  <x:si>
    <x:t xml:space="preserve">Results and goal-setting session</x:t>
  </x:si>
  <x:si>
    <x:t xml:space="preserve">Approved personalised pathway and priority record</x:t>
  </x:si>
  <x:si>
    <x:t xml:space="preserve">Human approval of pathway and exceptions</x:t>
  </x:si>
  <x:si>
    <x:t xml:space="preserve">Pathway approved or action required</x:t>
  </x:si>
  <x:si>
    <x:t xml:space="preserve">Module 1 Career Clarity</x:t>
  </x:si>
  <x:si>
    <x:t xml:space="preserve">Career Clarity I</x:t>
  </x:si>
  <x:si>
    <x:t xml:space="preserve">Lessons 1–2, notes, quiz and practice</x:t>
  </x:si>
  <x:si>
    <x:t xml:space="preserve">60-minute exploration and mapping session</x:t>
  </x:si>
  <x:si>
    <x:t xml:space="preserve">Career research, interest and strength evidence</x:t>
  </x:si>
  <x:si>
    <x:t xml:space="preserve">60%</x:t>
  </x:si>
  <x:si>
    <x:t xml:space="preserve">Each compulsory evidence item 6/10</x:t>
  </x:si>
  <x:si>
    <x:t xml:space="preserve">Module active</x:t>
  </x:si>
  <x:si>
    <x:t xml:space="preserve">AERS_Transform_Module_1_Career_Clarity_Content_Master_v2.0.docx</x:t>
  </x:si>
  <x:si>
    <x:t xml:space="preserve">Release Module 1 learning, quiz, evidence and review workflow</x:t>
  </x:si>
  <x:si>
    <x:t xml:space="preserve">Current and Verified</x:t>
  </x:si>
  <x:si>
    <x:t xml:space="preserve">Career Clarity II and module closure</x:t>
  </x:si>
  <x:si>
    <x:t xml:space="preserve">Lessons 3–4, action planning and evidence revision</x:t>
  </x:si>
  <x:si>
    <x:t xml:space="preserve">60-minute evidence review and closure session</x:t>
  </x:si>
  <x:si>
    <x:t xml:space="preserve">Verified Career Direction Plan and portfolio</x:t>
  </x:si>
  <x:si>
    <x:t xml:space="preserve">Each compulsory evidence item 6/10; revisions complete</x:t>
  </x:si>
  <x:si>
    <x:t xml:space="preserve">Verified / conditional action / intervention</x:t>
  </x:si>
  <x:si>
    <x:t xml:space="preserve">Apply module-close decision and unlock rules</x:t>
  </x:si>
  <x:si>
    <x:t xml:space="preserve">Module 2 Resume Readiness</x:t>
  </x:si>
  <x:si>
    <x:t xml:space="preserve">Résumé Readiness I</x:t>
  </x:si>
  <x:si>
    <x:t xml:space="preserve">Lessons 1–2, evidence inventory and résumé draft</x:t>
  </x:si>
  <x:si>
    <x:t xml:space="preserve">60-minute résumé workshop</x:t>
  </x:si>
  <x:si>
    <x:t xml:space="preserve">Résumé Version 1 and claim-to-evidence map</x:t>
  </x:si>
  <x:si>
    <x:t xml:space="preserve">AERS_Transform_Module_2_Resume_Readiness_Content_Master_v2.0.docx</x:t>
  </x:si>
  <x:si>
    <x:t xml:space="preserve">Release Module 2 after Module 1 close</x:t>
  </x:si>
  <x:si>
    <x:t xml:space="preserve">Résumé Readiness II and module closure</x:t>
  </x:si>
  <x:si>
    <x:t xml:space="preserve">Lessons 3–4, profile and revision</x:t>
  </x:si>
  <x:si>
    <x:t xml:space="preserve">60-minute review and correction clinic</x:t>
  </x:si>
  <x:si>
    <x:t xml:space="preserve">Verified Résumé Portfolio Version 2</x:t>
  </x:si>
  <x:si>
    <x:t xml:space="preserve">Store versions and verified résumé status</x:t>
  </x:si>
  <x:si>
    <x:t xml:space="preserve">Module 3 Communication</x:t>
  </x:si>
  <x:si>
    <x:t xml:space="preserve">Communication Readiness I</x:t>
  </x:si>
  <x:si>
    <x:t xml:space="preserve">Lessons 1–2, introduction, speaking and listening</x:t>
  </x:si>
  <x:si>
    <x:t xml:space="preserve">60-minute speaking and listening session</x:t>
  </x:si>
  <x:si>
    <x:t xml:space="preserve">Introduction recording and workplace response</x:t>
  </x:si>
  <x:si>
    <x:t xml:space="preserve">AERS_Transform_Module_3_Communication_Readiness_Content_Master_v2.0.docx</x:t>
  </x:si>
  <x:si>
    <x:t xml:space="preserve">Enable recording, evidence and rubric workflow</x:t>
  </x:si>
  <x:si>
    <x:t xml:space="preserve">Communication Readiness II and module closure</x:t>
  </x:si>
  <x:si>
    <x:t xml:space="preserve">Lessons 3–4, channels, discussion and presentation</x:t>
  </x:si>
  <x:si>
    <x:t xml:space="preserve">60-minute presentation and evidence review</x:t>
  </x:si>
  <x:si>
    <x:t xml:space="preserve">Verified Communication Evidence Portfolio Version 2</x:t>
  </x:si>
  <x:si>
    <x:t xml:space="preserve">Close module and preserve reviewed evidence</x:t>
  </x:si>
  <x:si>
    <x:t xml:space="preserve">Module 4 Aptitude</x:t>
  </x:si>
  <x:si>
    <x:t xml:space="preserve">Aptitude Readiness I</x:t>
  </x:si>
  <x:si>
    <x:t xml:space="preserve">Diagnostic, methods and practice</x:t>
  </x:si>
  <x:si>
    <x:t xml:space="preserve">60-minute diagnostic and error-review session</x:t>
  </x:si>
  <x:si>
    <x:t xml:space="preserve">Diagnostic record, worked methods and error log</x:t>
  </x:si>
  <x:si>
    <x:t xml:space="preserve">AERS_Transform_Module_4_Aptitude_Readiness_Content_Master_v2.0.docx</x:t>
  </x:si>
  <x:si>
    <x:t xml:space="preserve">Configure timed work, attempts and evidence</x:t>
  </x:si>
  <x:si>
    <x:t xml:space="preserve">Aptitude Readiness II and module closure</x:t>
  </x:si>
  <x:si>
    <x:t xml:space="preserve">Practice, reasoning and improvement verification</x:t>
  </x:si>
  <x:si>
    <x:t xml:space="preserve">60-minute problem-solving review</x:t>
  </x:si>
  <x:si>
    <x:t xml:space="preserve">Verified Aptitude Evidence Portfolio Version 2</x:t>
  </x:si>
  <x:si>
    <x:t xml:space="preserve">Store attempt history and human verification</x:t>
  </x:si>
  <x:si>
    <x:t xml:space="preserve">Module 5 Workplace Readiness</x:t>
  </x:si>
  <x:si>
    <x:t xml:space="preserve">Workplace Readiness I</x:t>
  </x:si>
  <x:si>
    <x:t xml:space="preserve">Professional behaviour, communication and scenarios</x:t>
  </x:si>
  <x:si>
    <x:t xml:space="preserve">60-minute scenario-practice session</x:t>
  </x:si>
  <x:si>
    <x:t xml:space="preserve">Professional email or scenario-response evidence</x:t>
  </x:si>
  <x:si>
    <x:t xml:space="preserve">AERS_Transform_Module_5_Workplace_Readiness_Content_Master_v2.0.docx</x:t>
  </x:si>
  <x:si>
    <x:t xml:space="preserve">Enable scenario submission and review</x:t>
  </x:si>
  <x:si>
    <x:t xml:space="preserve">Workplace Readiness II and module closure</x:t>
  </x:si>
  <x:si>
    <x:t xml:space="preserve">Teamwork, ownership, judgement and action planning</x:t>
  </x:si>
  <x:si>
    <x:t xml:space="preserve">60-minute evidence review and closure</x:t>
  </x:si>
  <x:si>
    <x:t xml:space="preserve">Verified Workplace Readiness Portfolio Version 2</x:t>
  </x:si>
  <x:si>
    <x:t xml:space="preserve">Apply human close decision and audit trail</x:t>
  </x:si>
  <x:si>
    <x:t xml:space="preserve">Module 6 Interview Readiness</x:t>
  </x:si>
  <x:si>
    <x:t xml:space="preserve">Interview Readiness I</x:t>
  </x:si>
  <x:si>
    <x:t xml:space="preserve">Preparation, résumé discussion, HR and behavioural answers</x:t>
  </x:si>
  <x:si>
    <x:t xml:space="preserve">60-minute preparation and answer-practice session</x:t>
  </x:si>
  <x:si>
    <x:t xml:space="preserve">Research sheet, STAR bank and response recording</x:t>
  </x:si>
  <x:si>
    <x:t xml:space="preserve">AERS_Transform_Module_6_Interview_Readiness_Content_Master_v2.0.docx</x:t>
  </x:si>
  <x:si>
    <x:t xml:space="preserve">Enable recording, preparation and reviewer tools</x:t>
  </x:si>
  <x:si>
    <x:t xml:space="preserve">Interview Readiness II and module closure</x:t>
  </x:si>
  <x:si>
    <x:t xml:space="preserve">Role-specific reasoning and human-led mock interview</x:t>
  </x:si>
  <x:si>
    <x:t xml:space="preserve">60-minute mock interview and feedback session</x:t>
  </x:si>
  <x:si>
    <x:t xml:space="preserve">Verified Interview Readiness Portfolio Version 2</x:t>
  </x:si>
  <x:si>
    <x:t xml:space="preserve">Capture human mock-interview decision and correction</x:t>
  </x:si>
  <x:si>
    <x:t xml:space="preserve">Demonstrate</x:t>
  </x:si>
  <x:si>
    <x:t xml:space="preserve">Final demonstration and targeted reassessment</x:t>
  </x:si>
  <x:si>
    <x:t xml:space="preserve">Evidence consolidation and final preparation</x:t>
  </x:si>
  <x:si>
    <x:t xml:space="preserve">Panel interview and employer simulation</x:t>
  </x:si>
  <x:si>
    <x:t xml:space="preserve">Final interview rubric, panel notes, simulation, reflection and reassessment record</x:t>
  </x:si>
  <x:si>
    <x:t xml:space="preserve">No new module quiz</x:t>
  </x:si>
  <x:si>
    <x:t xml:space="preserve">Human panel, moderation and comparable reassessment</x:t>
  </x:si>
  <x:si>
    <x:t xml:space="preserve">Complete / continuing development / re-attempt / hold</x:t>
  </x:si>
  <x:si>
    <x:t xml:space="preserve">AERS_Transform_Week_15_Final_Demonstration_and_Reassessment_Pack_v2.0.docx</x:t>
  </x:si>
  <x:si>
    <x:t xml:space="preserve">Configure eligibility, panel, moderation and Week 16 handover</x:t>
  </x:si>
  <x:si>
    <x:t xml:space="preserve">Decide and Progress</x:t>
  </x:si>
  <x:si>
    <x:t xml:space="preserve">Final ERI, Passport and progression</x:t>
  </x:si>
  <x:si>
    <x:t xml:space="preserve">ERI interpretation, Passport validation and portfolio closure</x:t>
  </x:si>
  <x:si>
    <x:t xml:space="preserve">Final evidence conference and planning</x:t>
  </x:si>
  <x:si>
    <x:t xml:space="preserve">Approved ERI Profile, Passport, portfolio and 30/60/90-day plan</x:t>
  </x:si>
  <x:si>
    <x:t xml:space="preserve">Not applicable</x:t>
  </x:si>
  <x:si>
    <x:t xml:space="preserve">Authorised reviewer approval mandatory</x:t>
  </x:si>
  <x:si>
    <x:t xml:space="preserve">Completed / continuing development / conditional / hold</x:t>
  </x:si>
  <x:si>
    <x:t xml:space="preserve">AERS_Transform_Week_16_Final_ERI_Employability_Passport_and_Progression_Plan_Pack_v2.0.docx</x:t>
  </x:si>
  <x:si>
    <x:t xml:space="preserve">Generate draft only; human approval before Passport release</x:t>
  </x:si>
  <x:si>
    <x:t xml:space="preserve">AERS TRANSFORM v2.0  |  CONTROLLED DELIVERABLE REGISTER</x:t>
  </x:si>
  <x:si>
    <x:t xml:space="preserve">One current source per deliverable  |  Older versions remain archive-only and must not be published</x:t>
  </x:si>
  <x:si>
    <x:t xml:space="preserve">ID</x:t>
  </x:si>
  <x:si>
    <x:t xml:space="preserve">Category</x:t>
  </x:si>
  <x:si>
    <x:t xml:space="preserve">Weeks</x:t>
  </x:si>
  <x:si>
    <x:t xml:space="preserve">Deliverable</x:t>
  </x:si>
  <x:si>
    <x:t xml:space="preserve">Current filename</x:t>
  </x:si>
  <x:si>
    <x:t xml:space="preserve">Content scope</x:t>
  </x:si>
  <x:si>
    <x:t xml:space="preserve">Control status</x:t>
  </x:si>
  <x:si>
    <x:t xml:space="preserve">Developer use</x:t>
  </x:si>
  <x:si>
    <x:t xml:space="preserve">Next action</x:t>
  </x:si>
  <x:si>
    <x:t xml:space="preserve">D01</x:t>
  </x:si>
  <x:si>
    <x:t xml:space="preserve">Foundation</x:t>
  </x:si>
  <x:si>
    <x:t xml:space="preserve">1</x:t>
  </x:si>
  <x:si>
    <x:t xml:space="preserve">Onboarding, consent, learner profile and baseline</x:t>
  </x:si>
  <x:si>
    <x:t xml:space="preserve">Onboarding and baseline configuration</x:t>
  </x:si>
  <x:si>
    <x:t xml:space="preserve">D02</x:t>
  </x:si>
  <x:si>
    <x:t xml:space="preserve">2</x:t>
  </x:si>
  <x:si>
    <x:t xml:space="preserve">Baseline interpretation, priorities and pathway approval</x:t>
  </x:si>
  <x:si>
    <x:t xml:space="preserve">Personalisation and pathway configuration</x:t>
  </x:si>
  <x:si>
    <x:t xml:space="preserve">D03</x:t>
  </x:si>
  <x:si>
    <x:t xml:space="preserve">Module Master</x:t>
  </x:si>
  <x:si>
    <x:t xml:space="preserve">3–4</x:t>
  </x:si>
  <x:si>
    <x:t xml:space="preserve">Bilingual scripts, notes, quizzes, activities, evidence, review and plan</x:t>
  </x:si>
  <x:si>
    <x:t xml:space="preserve">Regenerated and Verified</x:t>
  </x:si>
  <x:si>
    <x:t xml:space="preserve">Content ingestion and module gate</x:t>
  </x:si>
  <x:si>
    <x:t xml:space="preserve">Lock checksum and map content objects</x:t>
  </x:si>
  <x:si>
    <x:t xml:space="preserve">D04</x:t>
  </x:si>
  <x:si>
    <x:t xml:space="preserve">5–6</x:t>
  </x:si>
  <x:si>
    <x:t xml:space="preserve">Module 2 Résumé Readiness</x:t>
  </x:si>
  <x:si>
    <x:t xml:space="preserve">Bilingual scripts, notes, quizzes, résumé evidence and review</x:t>
  </x:si>
  <x:si>
    <x:t xml:space="preserve">D05</x:t>
  </x:si>
  <x:si>
    <x:t xml:space="preserve">7–8</x:t>
  </x:si>
  <x:si>
    <x:t xml:space="preserve">Module 3 Communication Readiness</x:t>
  </x:si>
  <x:si>
    <x:t xml:space="preserve">Bilingual scripts, notes, quizzes, recordings, activities and review</x:t>
  </x:si>
  <x:si>
    <x:t xml:space="preserve">Content ingestion and media/evidence workflow</x:t>
  </x:si>
  <x:si>
    <x:t xml:space="preserve">D06</x:t>
  </x:si>
  <x:si>
    <x:t xml:space="preserve">9–10</x:t>
  </x:si>
  <x:si>
    <x:t xml:space="preserve">Module 4 Aptitude Readiness</x:t>
  </x:si>
  <x:si>
    <x:t xml:space="preserve">Bilingual learning, quizzes, practice, evidence and human review</x:t>
  </x:si>
  <x:si>
    <x:t xml:space="preserve">Assessment, attempt and evidence workflow</x:t>
  </x:si>
  <x:si>
    <x:t xml:space="preserve">D07</x:t>
  </x:si>
  <x:si>
    <x:t xml:space="preserve">11–12</x:t>
  </x:si>
  <x:si>
    <x:t xml:space="preserve">Bilingual learning, scenarios, evidence, review and action plan</x:t>
  </x:si>
  <x:si>
    <x:t xml:space="preserve">Scenario and human-review workflow</x:t>
  </x:si>
  <x:si>
    <x:t xml:space="preserve">D08</x:t>
  </x:si>
  <x:si>
    <x:t xml:space="preserve">13–14</x:t>
  </x:si>
  <x:si>
    <x:t xml:space="preserve">Four bilingual lessons, 40 quiz questions, evidence and mock interview</x:t>
  </x:si>
  <x:si>
    <x:t xml:space="preserve">Recording, mock interview and correction workflow</x:t>
  </x:si>
  <x:si>
    <x:t xml:space="preserve">D09</x:t>
  </x:si>
  <x:si>
    <x:t xml:space="preserve">Final Stage</x:t>
  </x:si>
  <x:si>
    <x:t xml:space="preserve">15</x:t>
  </x:si>
  <x:si>
    <x:t xml:space="preserve">Final Demonstration and Reassessment</x:t>
  </x:si>
  <x:si>
    <x:t xml:space="preserve">Six-module consolidation, panel, simulation, reflection and reassessment</x:t>
  </x:si>
  <x:si>
    <x:t xml:space="preserve">Eligibility, panel, moderation and handover</x:t>
  </x:si>
  <x:si>
    <x:t xml:space="preserve">Configure controlled workflow and UAT</x:t>
  </x:si>
  <x:si>
    <x:t xml:space="preserve">D10</x:t>
  </x:si>
  <x:si>
    <x:t xml:space="preserve">16</x:t>
  </x:si>
  <x:si>
    <x:t xml:space="preserve">Final ERI Passport and Progression</x:t>
  </x:si>
  <x:si>
    <x:t xml:space="preserve">Seven-domain ERI, Passport, portfolio, conference and progression plan</x:t>
  </x:si>
  <x:si>
    <x:t xml:space="preserve">Draft generation, approval and release</x:t>
  </x:si>
  <x:si>
    <x:t xml:space="preserve">Approve ERI method and complete release UAT</x:t>
  </x:si>
  <x:si>
    <x:t xml:space="preserve">AERS TRANSFORM v2.0  |  DEVELOPER INGESTION AND ACCEPTANCE MATRIX</x:t>
  </x:si>
  <x:si>
    <x:t xml:space="preserve">The system supports delivery and evidence flow; authorised humans retain assessment, ERI and Passport authority</x:t>
  </x:si>
  <x:si>
    <x:t xml:space="preserve">Workflow</x:t>
  </x:si>
  <x:si>
    <x:t xml:space="preserve">Required platform behaviour</x:t>
  </x:si>
  <x:si>
    <x:t xml:space="preserve">Learner action</x:t>
  </x:si>
  <x:si>
    <x:t xml:space="preserve">Human action</x:t>
  </x:si>
  <x:si>
    <x:t xml:space="preserve">System output</x:t>
  </x:si>
  <x:si>
    <x:t xml:space="preserve">Hard control</x:t>
  </x:si>
  <x:si>
    <x:t xml:space="preserve">UAT evidence</x:t>
  </x:si>
  <x:si>
    <x:t xml:space="preserve">Onboarding and consent</x:t>
  </x:si>
  <x:si>
    <x:t xml:space="preserve">Product / QA</x:t>
  </x:si>
  <x:si>
    <x:t xml:space="preserve">Baseline and pathway</x:t>
  </x:si>
  <x:si>
    <x:t xml:space="preserve">Sequential module release</x:t>
  </x:si>
  <x:si>
    <x:t xml:space="preserve">Unlock only the approved next module</x:t>
  </x:si>
  <x:si>
    <x:t xml:space="preserve">Complete current module</x:t>
  </x:si>
  <x:si>
    <x:t xml:space="preserve">Approve close or intervention</x:t>
  </x:si>
  <x:si>
    <x:t xml:space="preserve">Next-action state</x:t>
  </x:si>
  <x:si>
    <x:t xml:space="preserve">No bypass of module gate</x:t>
  </x:si>
  <x:si>
    <x:t xml:space="preserve">All gate branches tested</x:t>
  </x:si>
  <x:si>
    <x:t xml:space="preserve">Product Owner</x:t>
  </x:si>
  <x:si>
    <x:t xml:space="preserve">Learning and quiz</x:t>
  </x:si>
  <x:si>
    <x:t xml:space="preserve">Track video/note access, quiz score and attempts</x:t>
  </x:si>
  <x:si>
    <x:t xml:space="preserve">Learn and attempt quiz</x:t>
  </x:si>
  <x:si>
    <x:t xml:space="preserve">Support where required</x:t>
  </x:si>
  <x:si>
    <x:t xml:space="preserve">Completion and score</x:t>
  </x:si>
  <x:si>
    <x:t xml:space="preserve">Quiz pass is 60%; quiz alone never verifies capability</x:t>
  </x:si>
  <x:si>
    <x:t xml:space="preserve">Pass, fail and retry cases</x:t>
  </x:si>
  <x:si>
    <x:t xml:space="preserve">Developer / QA</x:t>
  </x:si>
  <x:si>
    <x:t xml:space="preserve">Evidence submission</x:t>
  </x:si>
  <x:si>
    <x:t xml:space="preserve">Store file, version, timestamp, declaration and metadata</x:t>
  </x:si>
  <x:si>
    <x:t xml:space="preserve">Submit authentic evidence</x:t>
  </x:si>
  <x:si>
    <x:t xml:space="preserve">Check completeness</x:t>
  </x:si>
  <x:si>
    <x:t xml:space="preserve">Versioned submission</x:t>
  </x:si>
  <x:si>
    <x:t xml:space="preserve">No overwriting prior versions</x:t>
  </x:si>
  <x:si>
    <x:t xml:space="preserve">Upload and version-history UAT</x:t>
  </x:si>
  <x:si>
    <x:t xml:space="preserve">Human rubric review</x:t>
  </x:si>
  <x:si>
    <x:t xml:space="preserve">Present approved rubric and evidence context</x:t>
  </x:si>
  <x:si>
    <x:t xml:space="preserve">View feedback</x:t>
  </x:si>
  <x:si>
    <x:t xml:space="preserve">Score, comment and decide</x:t>
  </x:si>
  <x:si>
    <x:t xml:space="preserve">Auditable human decision</x:t>
  </x:si>
  <x:si>
    <x:t xml:space="preserve">Every compulsory evidence item minimum 6/10; holds can override score</x:t>
  </x:si>
  <x:si>
    <x:t xml:space="preserve">Review, revision and hold cases</x:t>
  </x:si>
  <x:si>
    <x:t xml:space="preserve">Revision and resubmission</x:t>
  </x:si>
  <x:si>
    <x:t xml:space="preserve">Return specific feedback and link resubmission</x:t>
  </x:si>
  <x:si>
    <x:t xml:space="preserve">Correct and resubmit</x:t>
  </x:si>
  <x:si>
    <x:t xml:space="preserve">Re-review and verify</x:t>
  </x:si>
  <x:si>
    <x:t xml:space="preserve">Linked evidence versions</x:t>
  </x:si>
  <x:si>
    <x:t xml:space="preserve">Original record retained</x:t>
  </x:si>
  <x:si>
    <x:t xml:space="preserve">Multi-version UAT</x:t>
  </x:si>
  <x:si>
    <x:t xml:space="preserve">Guided sessions</x:t>
  </x:si>
  <x:si>
    <x:t xml:space="preserve">Schedule, record attendance and link outputs</x:t>
  </x:si>
  <x:si>
    <x:t xml:space="preserve">Attend and practise</x:t>
  </x:si>
  <x:si>
    <x:t xml:space="preserve">Facilitate and record observations</x:t>
  </x:si>
  <x:si>
    <x:t xml:space="preserve">Session record</x:t>
  </x:si>
  <x:si>
    <x:t xml:space="preserve">One 60-minute session weekly from Week 3</x:t>
  </x:si>
  <x:si>
    <x:t xml:space="preserve">Session and absence cases</x:t>
  </x:si>
  <x:si>
    <x:t xml:space="preserve">Facilitator Lead</x:t>
  </x:si>
  <x:si>
    <x:t xml:space="preserve">Week 15 demonstration</x:t>
  </x:si>
  <x:si>
    <x:t xml:space="preserve">Manage eligibility, panel, independent scores and moderation</x:t>
  </x:si>
  <x:si>
    <x:t xml:space="preserve">Complete final demonstration</x:t>
  </x:si>
  <x:si>
    <x:t xml:space="preserve">Panel assesses and reviewer moderates</x:t>
  </x:si>
  <x:si>
    <x:t xml:space="preserve">Final readiness evidence</x:t>
  </x:si>
  <x:si>
    <x:t xml:space="preserve">Comparable reassessment only when authorised</x:t>
  </x:si>
  <x:si>
    <x:t xml:space="preserve">Panel and reassessment UAT</x:t>
  </x:si>
  <x:si>
    <x:t xml:space="preserve">ERI profile</x:t>
  </x:si>
  <x:si>
    <x:t xml:space="preserve">Calculate/display only approved versioned method</x:t>
  </x:si>
  <x:si>
    <x:t xml:space="preserve">Review profile</x:t>
  </x:si>
  <x:si>
    <x:t xml:space="preserve">Interpret, moderate and approve</x:t>
  </x:si>
  <x:si>
    <x:t xml:space="preserve">Draft or approved ERI profile</x:t>
  </x:si>
  <x:si>
    <x:t xml:space="preserve">No invented or unapproved numeric ERI</x:t>
  </x:si>
  <x:si>
    <x:t xml:space="preserve">Method-version and approval UAT</x:t>
  </x:si>
  <x:si>
    <x:t xml:space="preserve">Employability Passport</x:t>
  </x:si>
  <x:si>
    <x:t xml:space="preserve">Generate draft from approved claims and evidence</x:t>
  </x:si>
  <x:si>
    <x:t xml:space="preserve">Validate identity and sharing</x:t>
  </x:si>
  <x:si>
    <x:t xml:space="preserve">Approve correction and release</x:t>
  </x:si>
  <x:si>
    <x:t xml:space="preserve">Versioned Passport</x:t>
  </x:si>
  <x:si>
    <x:t xml:space="preserve">No automatic issuance</x:t>
  </x:si>
  <x:si>
    <x:t xml:space="preserve">Draft, correction, withhold and release UAT</x:t>
  </x:si>
  <x:si>
    <x:t xml:space="preserve">Audit and security</x:t>
  </x:si>
  <x:si>
    <x:t xml:space="preserve">Preserve decisions, access, versions and change history</x:t>
  </x:si>
  <x:si>
    <x:t xml:space="preserve">Access own records only</x:t>
  </x:si>
  <x:si>
    <x:t xml:space="preserve">Access authorised cohorts and decisions</x:t>
  </x:si>
  <x:si>
    <x:t xml:space="preserve">Audit trail and alerts</x:t>
  </x:si>
  <x:si>
    <x:t xml:space="preserve">Institution/cohort isolation and least privilege</x:t>
  </x:si>
  <x:si>
    <x:t xml:space="preserve">Permission and audit tests</x:t>
  </x:si>
  <x:si>
    <x:t xml:space="preserve">Technical Lead</x:t>
  </x:si>
  <x:si>
    <x:t xml:space="preserve">AERS TRANSFORM v2.0  |  APPROVED CONTROL VALUES</x:t>
  </x:si>
  <x:si>
    <x:t xml:space="preserve">Use these values for content configuration, reviewer workflow and UAT; changes require controlled approval</x:t>
  </x:si>
  <x:si>
    <x:t xml:space="preserve">Control ID</x:t>
  </x:si>
  <x:si>
    <x:t xml:space="preserve">Area</x:t>
  </x:si>
  <x:si>
    <x:t xml:space="preserve">Approved rule</x:t>
  </x:si>
  <x:si>
    <x:t xml:space="preserve">System implementation</x:t>
  </x:si>
  <x:si>
    <x:t xml:space="preserve">Authority</x:t>
  </x:si>
  <x:si>
    <x:t xml:space="preserve">Change status</x:t>
  </x:si>
  <x:si>
    <x:t xml:space="preserve">C01</x:t>
  </x:si>
  <x:si>
    <x:t xml:space="preserve">Quiz</x:t>
  </x:si>
  <x:si>
    <x:t xml:space="preserve">Pass at 60% or above; approved attempt rules; no negative marking unless separately approved</x:t>
  </x:si>
  <x:si>
    <x:t xml:space="preserve">Calculate and display; retain attempts</x:t>
  </x:si>
  <x:si>
    <x:t xml:space="preserve">Programme / Assessment Owner</x:t>
  </x:si>
  <x:si>
    <x:t xml:space="preserve">Locked</x:t>
  </x:si>
  <x:si>
    <x:t xml:space="preserve">C02</x:t>
  </x:si>
  <x:si>
    <x:t xml:space="preserve">Human evidence</x:t>
  </x:si>
  <x:si>
    <x:t xml:space="preserve">Each compulsory human-reviewed evidence item must score at least 6/10</x:t>
  </x:si>
  <x:si>
    <x:t xml:space="preserve">Block module close until decision and required correction</x:t>
  </x:si>
  <x:si>
    <x:t xml:space="preserve">Authorised reviewer</x:t>
  </x:si>
  <x:si>
    <x:t xml:space="preserve">C03</x:t>
  </x:si>
  <x:si>
    <x:t xml:space="preserve">Module gate</x:t>
  </x:si>
  <x:si>
    <x:t xml:space="preserve">No separate 7/10 module gate</x:t>
  </x:si>
  <x:si>
    <x:t xml:space="preserve">Do not configure an additional aggregate gate</x:t>
  </x:si>
  <x:si>
    <x:t xml:space="preserve">C04</x:t>
  </x:si>
  <x:si>
    <x:t xml:space="preserve">Completion</x:t>
  </x:si>
  <x:si>
    <x:t xml:space="preserve">All compulsory evidence verified, revisions complete and feedback acknowledged</x:t>
  </x:si>
  <x:si>
    <x:t xml:space="preserve">Gate next module on all conditions</x:t>
  </x:si>
  <x:si>
    <x:t xml:space="preserve">C05</x:t>
  </x:si>
  <x:si>
    <x:t xml:space="preserve">One 60-minute guided session weekly from Week 3</x:t>
  </x:si>
  <x:si>
    <x:t xml:space="preserve">Schedule, attendance, outputs and notes</x:t>
  </x:si>
  <x:si>
    <x:t xml:space="preserve">C06</x:t>
  </x:si>
  <x:si>
    <x:t xml:space="preserve">Responsible AI</x:t>
  </x:si>
  <x:si>
    <x:t xml:space="preserve">Material assistance declared; no fabrication, impersonation or undisclosed live answers</x:t>
  </x:si>
  <x:si>
    <x:t xml:space="preserve">Declaration, reviewer flag and audit record</x:t>
  </x:si>
  <x:si>
    <x:t xml:space="preserve">C07</x:t>
  </x:si>
  <x:si>
    <x:t xml:space="preserve">Decision statuses</x:t>
  </x:si>
  <x:si>
    <x:t xml:space="preserve">Submitted, Under Review, Verified, Verified with Revision, Evidence Pending, Rejected, Hold or Escalation</x:t>
  </x:si>
  <x:si>
    <x:t xml:space="preserve">Controlled state machine with reason and timestamp</x:t>
  </x:si>
  <x:si>
    <x:t xml:space="preserve">C08</x:t>
  </x:si>
  <x:si>
    <x:t xml:space="preserve">Public Passport labels</x:t>
  </x:si>
  <x:si>
    <x:t xml:space="preserve">Verified, Developing, Evidence Pending</x:t>
  </x:si>
  <x:si>
    <x:t xml:space="preserve">Only approved claims and public labels exposed</x:t>
  </x:si>
  <x:si>
    <x:t xml:space="preserve">Authorised AERS reviewer</x:t>
  </x:si>
  <x:si>
    <x:t xml:space="preserve">C09</x:t>
  </x:si>
  <x:si>
    <x:t xml:space="preserve">ERI</x:t>
  </x:si>
  <x:si>
    <x:t xml:space="preserve">Numeric value only with an approved, versioned method</x:t>
  </x:si>
  <x:si>
    <x:t xml:space="preserve">Keep draft hidden until human approval</x:t>
  </x:si>
  <x:si>
    <x:t xml:space="preserve">Programme Owner / Moderator</x:t>
  </x:si>
  <x:si>
    <x:t xml:space="preserve">Governance Approval</x:t>
  </x:si>
  <x:si>
    <x:t xml:space="preserve">C10</x:t>
  </x:si>
  <x:si>
    <x:t xml:space="preserve">Passport</x:t>
  </x:si>
  <x:si>
    <x:t xml:space="preserve">Human approval required before issuance or external sharing</x:t>
  </x:si>
  <x:si>
    <x:t xml:space="preserve">Draft, validate, correct, approve, release and revoke/version</x:t>
  </x:si>
  <x:si>
    <x:t xml:space="preserve">C11</x:t>
  </x:si>
  <x:si>
    <x:t xml:space="preserve">Privacy</x:t>
  </x:si>
  <x:si>
    <x:t xml:space="preserve">Role, institution and cohort access isolation; consent and sharing scope retained</x:t>
  </x:si>
  <x:si>
    <x:t xml:space="preserve">Least privilege, audit, secure links and retention controls</x:t>
  </x:si>
  <x:si>
    <x:t xml:space="preserve">Data / Programme Owner</x:t>
  </x:si>
  <x:si>
    <x:t xml:space="preserve">C12</x:t>
  </x:si>
  <x:si>
    <x:t xml:space="preserve">Programme claim</x:t>
  </x:si>
  <x:si>
    <x:t xml:space="preserve">No degree, licence, job offer or employment guarantee</x:t>
  </x:si>
  <x:si>
    <x:t xml:space="preserve">Display approved disclaimer in final outputs</x:t>
  </x:si>
  <x:si>
    <x:t xml:space="preserve">AERS TRANSFORM v2.0  |  MASTER INDEX AUDIT</x:t>
  </x:si>
  <x:si>
    <x:t xml:space="preserve">Terminal checks only  |  Resolve failures before developer handover or publication</x:t>
  </x:si>
  <x:si>
    <x:t xml:space="preserve">Check</x:t>
  </x:si>
  <x:si>
    <x:t xml:space="preserve">Expected</x:t>
  </x:si>
  <x:si>
    <x:t xml:space="preserve">Actual</x:t>
  </x:si>
  <x:si>
    <x:t xml:space="preserve">Result</x:t>
  </x:si>
  <x:si>
    <x:t xml:space="preserve">Action</x:t>
  </x:si>
  <x:si>
    <x:t xml:space="preserve">16 programme weeks</x:t>
  </x:si>
  <x:si>
    <x:t xml:space="preserve">Six controlled module masters</x:t>
  </x:si>
  <x:si>
    <x:t xml:space="preserve">Current and verified weeks</x:t>
  </x:si>
  <x:si>
    <x:t xml:space="preserve">Controlled deliverables</x:t>
  </x:si>
  <x:si>
    <x:t xml:space="preserve">Developer workflows</x:t>
  </x:si>
  <x:si>
    <x:t xml:space="preserve">Approved controls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</x:si>
</x:sst>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3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8"/>
      <x:color rgb="FFFFFFFF"/>
      <x:name val="Calibri"/>
    </x:font>
    <x:font>
      <x:i/>
      <x:sz val="10"/>
      <x:color rgb="FF0F3D66"/>
      <x:name val="Calibri"/>
    </x:font>
    <x:font>
      <x:b/>
      <x:sz val="9"/>
      <x:color rgb="FFFFFFFF"/>
      <x:name val="Calibri"/>
    </x:font>
    <x:font>
      <x:sz val="9"/>
      <x:color rgb="FF253746"/>
      <x:name val="Calibri"/>
    </x:font>
    <x:font>
      <x:b/>
      <x:sz val="9"/>
      <x:color rgb="FF7A5200"/>
      <x:name val="Calibri"/>
    </x:font>
    <x:font>
      <x:b/>
      <x:sz val="11"/>
      <x:color rgb="FFFFFFFF"/>
      <x:name val="Calibri"/>
    </x:font>
    <x:font>
      <x:b/>
      <x:sz val="11"/>
      <x:color rgb="FF0F3D66"/>
      <x:name val="Calibri"/>
    </x:font>
    <x:font>
      <x:b/>
      <x:sz val="9"/>
      <x:color rgb="FF137333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0F3D66"/>
      </x:patternFill>
    </x:fill>
    <x:fill>
      <x:patternFill patternType="solid">
        <x:fgColor rgb="FFEAF4F4"/>
      </x:patternFill>
    </x:fill>
    <x:fill>
      <x:patternFill patternType="solid">
        <x:fgColor rgb="FFFFF3D6"/>
      </x:patternFill>
    </x:fill>
    <x:fill>
      <x:patternFill patternType="solid">
        <x:fgColor rgb="FF1AA6A6"/>
      </x:patternFill>
    </x:fill>
    <x:fill>
      <x:patternFill patternType="solid">
        <x:fgColor rgb="FFEAF1F7"/>
      </x:patternFill>
    </x:fill>
    <x:fill>
      <x:patternFill patternType="solid">
        <x:fgColor rgb="FFD9EAD3"/>
      </x:patternFill>
    </x:fill>
  </x:fills>
  <x:borders count="10">
    <x:border diagonalUp="0" diagonalDown="0"/>
    <x:border diagonalUp="0" diagonalDown="0">
      <x:left style="thin">
        <x:color rgb="FFD9E1E5"/>
      </x:left>
      <x:right style="thin">
        <x:color rgb="FFD9E1E5"/>
      </x:right>
      <x:top style="thin">
        <x:color rgb="FFD9E1E5"/>
      </x:top>
      <x:bottom style="thin">
        <x:color rgb="FFD9E1E5"/>
      </x:bottom>
    </x:border>
    <x:border diagonalUp="0" diagonalDown="0">
      <x:right style="thin">
        <x:color rgb="FFD9E1E5"/>
      </x:right>
      <x:bottom style="thin">
        <x:color rgb="FFD9E1E5"/>
      </x:bottom>
    </x:border>
    <x:border diagonalUp="0" diagonalDown="0">
      <x:left style="thin">
        <x:color rgb="FFD9E1E5"/>
      </x:left>
      <x:bottom style="thin">
        <x:color rgb="FFD9E1E5"/>
      </x:bottom>
    </x:border>
    <x:border diagonalUp="0" diagonalDown="0">
      <x:left style="thin">
        <x:color rgb="FFD9E1E5"/>
      </x:left>
      <x:right style="thin">
        <x:color rgb="FFD9E1E5"/>
      </x:right>
      <x:bottom style="thin">
        <x:color rgb="FFD9E1E5"/>
      </x:bottom>
    </x:border>
    <x:border diagonalUp="0" diagonalDown="0">
      <x:right style="thin">
        <x:color rgb="FFD9E1E5"/>
      </x:right>
      <x:top style="thin">
        <x:color rgb="FFD9E1E5"/>
      </x:top>
      <x:bottom style="thin">
        <x:color rgb="FFD9E1E5"/>
      </x:bottom>
    </x:border>
    <x:border diagonalUp="0" diagonalDown="0">
      <x:left style="thin">
        <x:color rgb="FFD9E1E5"/>
      </x:left>
      <x:top style="thin">
        <x:color rgb="FFD9E1E5"/>
      </x:top>
      <x:bottom style="thin">
        <x:color rgb="FFD9E1E5"/>
      </x:bottom>
    </x:border>
    <x:border diagonalUp="0" diagonalDown="0">
      <x:right style="thin">
        <x:color rgb="FFD9E1E5"/>
      </x:right>
      <x:top style="thin">
        <x:color rgb="FFD9E1E5"/>
      </x:top>
    </x:border>
    <x:border diagonalUp="0" diagonalDown="0">
      <x:left style="thin">
        <x:color rgb="FFD9E1E5"/>
      </x:left>
      <x:right style="thin">
        <x:color rgb="FFD9E1E5"/>
      </x:right>
      <x:top style="thin">
        <x:color rgb="FFD9E1E5"/>
      </x:top>
    </x:border>
    <x:border diagonalUp="0" diagonalDown="0">
      <x:left style="thin">
        <x:color rgb="FFD9E1E5"/>
      </x:left>
      <x:top style="thin">
        <x:color rgb="FFD9E1E5"/>
      </x:top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8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general" vertical="center" wrapText="0"/>
    </x:xf>
    <x:xf numFmtId="164" fontId="6" fillId="3" borderId="0" xfId="20" applyFont="1" applyBorder="1" applyAlignment="1">
      <x:alignment horizontal="general" vertical="center" wrapText="0"/>
    </x:xf>
    <x:xf numFmtId="164" fontId="7" fillId="2" borderId="1" xfId="20" applyFont="1" applyBorder="1" applyAlignment="1">
      <x:alignment horizontal="general" vertical="center" wrapText="1"/>
    </x:xf>
    <x:xf numFmtId="164" fontId="8" fillId="0" borderId="2" xfId="20" applyFont="1" applyBorder="1" applyAlignment="1">
      <x:alignment horizontal="general" vertical="top" wrapText="1"/>
    </x:xf>
    <x:xf numFmtId="164" fontId="8" fillId="0" borderId="3" xfId="20" applyFont="1" applyBorder="1" applyAlignment="1">
      <x:alignment horizontal="general" vertical="top" wrapText="1"/>
    </x:xf>
    <x:xf numFmtId="164" fontId="8" fillId="0" borderId="4" xfId="20" applyFont="1" applyBorder="1" applyAlignment="1">
      <x:alignment horizontal="general" vertical="top" wrapText="1"/>
    </x:xf>
    <x:xf numFmtId="164" fontId="8" fillId="0" borderId="5" xfId="20" applyFont="1" applyBorder="1" applyAlignment="1">
      <x:alignment horizontal="general" vertical="top" wrapText="1"/>
    </x:xf>
    <x:xf numFmtId="164" fontId="8" fillId="0" borderId="6" xfId="20" applyFont="1" applyBorder="1" applyAlignment="1">
      <x:alignment horizontal="general" vertical="top" wrapText="1"/>
    </x:xf>
    <x:xf numFmtId="164" fontId="8" fillId="0" borderId="1" xfId="20" applyFont="1" applyBorder="1" applyAlignment="1">
      <x:alignment horizontal="general" vertical="top" wrapText="1"/>
    </x:xf>
    <x:xf numFmtId="164" fontId="8" fillId="0" borderId="7" xfId="20" applyFont="1" applyBorder="1" applyAlignment="1">
      <x:alignment horizontal="general" vertical="top" wrapText="1"/>
    </x:xf>
    <x:xf numFmtId="164" fontId="9" fillId="4" borderId="1" xfId="20" applyFont="1" applyBorder="1" applyAlignment="1">
      <x:alignment horizontal="general" vertical="top" wrapText="1"/>
    </x:xf>
    <x:xf numFmtId="164" fontId="8" fillId="0" borderId="8" xfId="20" applyFont="1" applyBorder="1" applyAlignment="1">
      <x:alignment horizontal="general" vertical="top" wrapText="1"/>
    </x:xf>
    <x:xf numFmtId="164" fontId="8" fillId="0" borderId="9" xfId="20" applyFont="1" applyBorder="1" applyAlignment="1">
      <x:alignment horizontal="general" vertical="top" wrapText="1"/>
    </x:xf>
    <x:xf numFmtId="164" fontId="10" fillId="5" borderId="0" xfId="20" applyFont="1" applyBorder="1" applyAlignment="0">
      <x:alignment horizontal="general" vertical="bottom" wrapText="0"/>
    </x:xf>
    <x:xf numFmtId="164" fontId="11" fillId="6" borderId="1" xfId="20" applyFont="1" applyBorder="1" applyAlignment="1">
      <x:alignment horizontal="left" vertical="center" wrapText="1"/>
    </x:xf>
    <x:xf numFmtId="164" fontId="9" fillId="7" borderId="1" xfId="0" applyNumberFormat="1" applyFont="1" applyFill="1" applyBorder="1" applyAlignment="1">
      <x:alignment horizontal="general" vertical="top" wrapText="1"/>
    </x:xf>
    <x:xf numFmtId="164" fontId="12" fillId="7" borderId="1" xfId="0" applyNumberFormat="1" applyFont="1" applyFill="1" applyBorder="1" applyAlignment="1">
      <x:alignment horizontal="general" vertical="top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19">
    <x:dxf>
      <x:fill>
        <x:patternFill>
          <x:bgColor rgb="FFF7FAFB"/>
        </x:patternFill>
      </x:fill>
    </x:dxf>
    <x:dxf>
      <x:fill>
        <x:patternFill>
          <x:bgColor rgb="FFF7FAFB"/>
        </x:patternFill>
      </x:fill>
    </x:dxf>
    <x:dxf>
      <x:font>
        <x:b/>
        <x:color rgb="FF176B3A"/>
      </x:font>
      <x:fill>
        <x:patternFill>
          <x:bgColor rgb="FFDFF2E5"/>
        </x:patternFill>
      </x:fill>
    </x:dxf>
    <x:dxf>
      <x:font>
        <x:b/>
        <x:color rgb="FF9B1C1C"/>
      </x:font>
      <x:fill>
        <x:patternFill>
          <x:bgColor rgb="FFFCE4E4"/>
        </x:patternFill>
      </x:fill>
    </x:dxf>
    <x:dxf>
      <x:fill>
        <x:patternFill>
          <x:bgColor rgb="FFF7FAFB"/>
        </x:patternFill>
      </x:fill>
    </x:dxf>
    <x:dxf>
      <x:font>
        <x:b/>
        <x:color rgb="FF176B3A"/>
      </x:font>
      <x:fill>
        <x:patternFill>
          <x:bgColor rgb="FFDFF2E5"/>
        </x:patternFill>
      </x:fill>
    </x:dxf>
    <x:dxf>
      <x:font>
        <x:b/>
        <x:color rgb="FF7A5200"/>
      </x:font>
      <x:fill>
        <x:patternFill>
          <x:bgColor rgb="FFFFF3D6"/>
        </x:patternFill>
      </x:fill>
    </x:dxf>
    <x:dxf>
      <x:fill>
        <x:patternFill>
          <x:bgColor rgb="FFF7FAFB"/>
        </x:patternFill>
      </x:fill>
    </x:dxf>
    <x:dxf>
      <x:font>
        <x:b/>
        <x:color rgb="FF176B3A"/>
      </x:font>
      <x:fill>
        <x:patternFill>
          <x:bgColor rgb="FFDFF2E5"/>
        </x:patternFill>
      </x:fill>
    </x:dxf>
    <x:dxf>
      <x:font>
        <x:b/>
        <x:color rgb="FF7A5200"/>
      </x:font>
      <x:fill>
        <x:patternFill>
          <x:bgColor rgb="FFFFF3D6"/>
        </x:patternFill>
      </x:fill>
    </x:dxf>
    <x:dxf>
      <x:fill>
        <x:patternFill>
          <x:bgColor rgb="FFF7FAFB"/>
        </x:patternFill>
      </x:fill>
    </x:dxf>
    <x:dxf>
      <x:font>
        <x:b/>
        <x:color rgb="FF176B3A"/>
      </x:font>
      <x:fill>
        <x:patternFill>
          <x:bgColor rgb="FFDFF2E5"/>
        </x:patternFill>
      </x:fill>
    </x:dxf>
    <x:dxf>
      <x:font>
        <x:b/>
        <x:color rgb="FF9B1C1C"/>
      </x:font>
      <x:fill>
        <x:patternFill>
          <x:bgColor rgb="FFFCE4E4"/>
        </x:patternFill>
      </x:fill>
    </x:dxf>
    <x:dxf>
      <x:fill>
        <x:patternFill>
          <x:bgColor rgb="FFF7FAFB"/>
        </x:patternFill>
      </x:fill>
    </x:dxf>
    <x:dxf>
      <x:font>
        <x:b/>
        <x:color rgb="FF176B3A"/>
      </x:font>
      <x:fill>
        <x:patternFill>
          <x:bgColor rgb="FFDFF2E5"/>
        </x:patternFill>
      </x:fill>
    </x:dxf>
    <x:dxf>
      <x:font>
        <x:b/>
        <x:color rgb="FF7A5200"/>
      </x:font>
      <x:fill>
        <x:patternFill>
          <x:bgColor rgb="FFFFF3D6"/>
        </x:patternFill>
      </x:fill>
    </x:dxf>
    <x:dxf>
      <x:fill>
        <x:patternFill>
          <x:bgColor rgb="FFF7FAFB"/>
        </x:patternFill>
      </x:fill>
    </x:dxf>
    <x:dxf>
      <x:font>
        <x:b/>
        <x:color rgb="FF176B3A"/>
      </x:font>
      <x:fill>
        <x:patternFill>
          <x:bgColor rgb="FFDFF2E5"/>
        </x:patternFill>
      </x:fill>
    </x:dxf>
    <x:dxf>
      <x:font>
        <x:b/>
        <x:color rgb="FF9B1C1C"/>
      </x:font>
      <x:fill>
        <x:patternFill>
          <x:bgColor rgb="FFFCE4E4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76B3A"/>
      <x:rgbColor rgb="FF000080"/>
      <x:rgbColor rgb="FF7A5200"/>
      <x:rgbColor rgb="FF800080"/>
      <x:rgbColor rgb="FF008080"/>
      <x:rgbColor rgb="FFC0C0C0"/>
      <x:rgbColor rgb="FF808080"/>
      <x:rgbColor rgb="FF9999FF"/>
      <x:rgbColor rgb="FF993366"/>
      <x:rgbColor rgb="FFFFF3D6"/>
      <x:rgbColor rgb="FFEAF4F4"/>
      <x:rgbColor rgb="FF660066"/>
      <x:rgbColor rgb="FFFF8080"/>
      <x:rgbColor rgb="FF0066CC"/>
      <x:rgbColor rgb="FFD9E1E5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1F7"/>
      <x:rgbColor rgb="FFDFF2E5"/>
      <x:rgbColor rgb="FFF7FAFB"/>
      <x:rgbColor rgb="FF99CCFF"/>
      <x:rgbColor rgb="FFFF99CC"/>
      <x:rgbColor rgb="FFCC99FF"/>
      <x:rgbColor rgb="FFFCE4E4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F3D66"/>
      <x:rgbColor rgb="FF1AA6A6"/>
      <x:rgbColor rgb="FF003300"/>
      <x:rgbColor rgb="FF333300"/>
      <x:rgbColor rgb="FF9B1C1C"/>
      <x:rgbColor rgb="FF993366"/>
      <x:rgbColor rgb="FF333399"/>
      <x:rgbColor rgb="FF253746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860dabed848cc" /><Relationship Type="http://schemas.openxmlformats.org/officeDocument/2006/relationships/theme" Target="/xl/theme/theme1.xml" Id="Rc0eddd49b5e246bd" /><Relationship Type="http://schemas.openxmlformats.org/officeDocument/2006/relationships/sharedStrings" Target="/xl/sharedStrings.xml" Id="R708b8a170c7841c5" /><Relationship Type="http://schemas.openxmlformats.org/officeDocument/2006/relationships/worksheet" Target="/xl/worksheets/sheet1.xml" Id="R0c2f5f56d75e4d2e" /><Relationship Type="http://schemas.openxmlformats.org/officeDocument/2006/relationships/worksheet" Target="/xl/worksheets/sheet2.xml" Id="R63b7bab58d494642" /><Relationship Type="http://schemas.openxmlformats.org/officeDocument/2006/relationships/worksheet" Target="/xl/worksheets/sheet3.xml" Id="Rd6d2794279fa47c2" /><Relationship Type="http://schemas.openxmlformats.org/officeDocument/2006/relationships/worksheet" Target="/xl/worksheets/sheet4.xml" Id="R79a52bd6c48246c6" /><Relationship Type="http://schemas.openxmlformats.org/officeDocument/2006/relationships/worksheet" Target="/xl/worksheets/sheet5.xml" Id="R17a9b21aae5b40f9" /><Relationship Type="http://schemas.openxmlformats.org/officeDocument/2006/relationships/worksheet" Target="/xl/worksheets/sheet6.xml" Id="Rb33b8decf35d4102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24" hidden="0" customWidth="1"/>
    <x:col min="2" max="2" width="20" hidden="0" customWidth="1"/>
    <x:col min="3" max="3" width="4" hidden="0" customWidth="1"/>
    <x:col min="4" max="4" width="31" hidden="0" customWidth="1"/>
    <x:col min="5" max="5" width="25" hidden="0" customWidth="1"/>
    <x:col min="6" max="6" width="18" hidden="0" customWidth="1"/>
    <x:col min="7" max="7" width="4" hidden="0" customWidth="1"/>
    <x:col min="8" max="10" width="12" hidden="0" customWidth="1"/>
  </x:cols>
  <x:sheetData>
    <x:row r="1" ht="34" hidden="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7" hidden="0" customHeight="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32" hidden="0" customHeight="1">
      <x:c r="A4" s="3" t="s">
        <x:v>2</x:v>
      </x:c>
      <x:c r="B4" s="3" t="s">
        <x:v>3</x:v>
      </x:c>
      <x:c r="D4" s="3" t="s">
        <x:v>4</x:v>
      </x:c>
      <x:c r="E4" s="3" t="s">
        <x:v>5</x:v>
      </x:c>
      <x:c r="F4" s="3" t="s">
        <x:v>6</x:v>
      </x:c>
    </x:row>
    <x:row r="5" ht="30" hidden="0" customHeight="1">
      <x:c r="A5" s="4" t="s">
        <x:v>7</x:v>
      </x:c>
      <x:c r="B5" s="5" t="n">
        <x:f aca="0">COUNTA('16-Week Map'!A5:A20)</x:f>
        <x:v>16</x:v>
      </x:c>
      <x:c r="D5" s="4" t="s">
        <x:v>8</x:v>
      </x:c>
      <x:c r="E5" s="6" t="s">
        <x:v>9</x:v>
      </x:c>
      <x:c r="F5" s="5" t="str">
        <x:v>Passed</x:v>
      </x:c>
    </x:row>
    <x:row r="6" ht="30" hidden="0" customHeight="1">
      <x:c r="A6" s="7" t="s">
        <x:v>10</x:v>
      </x:c>
      <x:c r="B6" s="8" t="n">
        <x:f aca="0">COUNTIF('Deliverable Register'!B5:B14,"Module Master")</x:f>
        <x:v>6</x:v>
      </x:c>
      <x:c r="D6" s="7" t="s">
        <x:v>11</x:v>
      </x:c>
      <x:c r="E6" s="9" t="s">
        <x:v>12</x:v>
      </x:c>
      <x:c r="F6" s="8" t="s">
        <x:v>13</x:v>
      </x:c>
    </x:row>
    <x:row r="7" ht="30" hidden="0" customHeight="1">
      <x:c r="A7" s="7" t="s">
        <x:v>14</x:v>
      </x:c>
      <x:c r="B7" s="8" t="n">
        <x:f aca="0">COUNTIF('Deliverable Register'!B5:B14,"Module Master")</x:f>
        <x:v>6</x:v>
      </x:c>
      <x:c r="D7" s="7" t="s">
        <x:v>15</x:v>
      </x:c>
      <x:c r="E7" s="9" t="s">
        <x:v>16</x:v>
      </x:c>
      <x:c r="F7" s="8" t="s">
        <x:v>13</x:v>
      </x:c>
    </x:row>
    <x:row r="8" ht="30" hidden="0" customHeight="1">
      <x:c r="A8" s="7" t="s">
        <x:v>17</x:v>
      </x:c>
      <x:c r="B8" s="8" t="n">
        <x:f aca="0">COUNTIF('Deliverable Register'!B5:B14,"Final Stage")</x:f>
        <x:v>2</x:v>
      </x:c>
      <x:c r="D8" s="7" t="s">
        <x:v>18</x:v>
      </x:c>
      <x:c r="E8" s="9" t="s">
        <x:v>9</x:v>
      </x:c>
      <x:c r="F8" s="8" t="s">
        <x:v>13</x:v>
      </x:c>
    </x:row>
    <x:row r="9" ht="30" hidden="0" customHeight="1">
      <x:c r="A9" s="7" t="str">
        <x:v>Current controlled source files</x:v>
      </x:c>
      <x:c r="B9" s="8" t="n">
        <x:f aca="0"/>
        <x:v>9</x:v>
      </x:c>
      <x:c r="D9" s="7" t="s">
        <x:v>19</x:v>
      </x:c>
      <x:c r="E9" s="9" t="s">
        <x:v>20</x:v>
      </x:c>
      <x:c r="F9" s="8" t="s">
        <x:v>21</x:v>
      </x:c>
    </x:row>
    <x:row r="10" ht="30" hidden="0" customHeight="1">
      <x:c r="A10" s="7" t="str">
        <x:v>Weeks cleared as current</x:v>
      </x:c>
      <x:c r="B10" s="8" t="n">
        <x:f aca="0"/>
        <x:v>16</x:v>
      </x:c>
      <x:c r="D10" s="7" t="s">
        <x:v>22</x:v>
      </x:c>
      <x:c r="E10" s="9" t="s">
        <x:v>23</x:v>
      </x:c>
      <x:c r="F10" s="8" t="s">
        <x:v>21</x:v>
      </x:c>
    </x:row>
    <x:row r="11" ht="30" hidden="0" customHeight="1">
      <x:c r="A11" s="7" t="str">
        <x:v>Weeks needing alignment review</x:v>
      </x:c>
      <x:c r="B11" s="8" t="n">
        <x:f aca="0"/>
        <x:v>0</x:v>
      </x:c>
      <x:c r="D11" s="7" t="s">
        <x:v>24</x:v>
      </x:c>
      <x:c r="E11" s="9" t="s">
        <x:v>25</x:v>
      </x:c>
      <x:c r="F11" s="8" t="s">
        <x:v>21</x:v>
      </x:c>
    </x:row>
    <x:row r="12" ht="30" hidden="0" customHeight="1">
      <x:c r="A12" s="10" t="str">
        <x:v>Overall content-control status</x:v>
      </x:c>
      <x:c r="B12" s="17" t="str">
        <x:f aca="0"/>
        <x:v>All 16 weeks current and verified</x:v>
      </x:c>
      <x:c r="D12" s="10" t="s">
        <x:v>26</x:v>
      </x:c>
      <x:c r="E12" s="12" t="s">
        <x:v>27</x:v>
      </x:c>
      <x:c r="F12" s="13" t="s">
        <x:v>21</x:v>
      </x:c>
    </x:row>
    <x:row r="15" ht="25" hidden="0" customHeight="1">
      <x:c r="A15" s="14" t="s">
        <x:v>28</x:v>
      </x:c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 ht="15" hidden="0" customHeight="1">
      <x:c r="A16" s="15" t="str">
        <x:v>All Weeks 1–16 content sources are current and verified. Platform launch remains conditional on controlled developer ingestion, workflow UAT, role and permission testing, human-review controls, and formal approval of the ERI method and Employability Passport release rules.</x:v>
      </x:c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15" hidden="0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15" hidden="0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</x:sheetData>
  <x:mergeCells>
    <x:mergeCell ref="A1:J1"/>
    <x:mergeCell ref="A2:J2"/>
    <x:mergeCell ref="A15:J15"/>
    <x:mergeCell ref="A16:J18"/>
  </x:mergeCells>
  <x:conditionalFormatting sqref="A5:B12">
    <x:cfRule type="expression" dxfId="0" priority="2" aboveAverage="0" percent="0" bottom="0" rank="0" equalAverage="0">
      <x:formula>MOD(ROW(),2)=1</x:formula>
    </x:cfRule>
  </x:conditionalFormatting>
  <x:conditionalFormatting sqref="D5:F12">
    <x:cfRule type="expression" dxfId="1" priority="3" aboveAverage="0" percent="0" bottom="0" rank="0" equalAverage="0">
      <x:formula>MOD(ROW(),2)=1</x:formula>
    </x:cfRule>
  </x:conditionalFormatting>
  <x:conditionalFormatting sqref="F5:F12">
    <x:cfRule type="containsText" dxfId="2" priority="4" aboveAverage="0" percent="0" bottom="0" operator="containsText" text="Passed" rank="0" equalAverage="0">
      <x:formula>NOT(ISERROR(SEARCH("Passed",F5)))</x:formula>
    </x:cfRule>
    <x:cfRule type="containsText" dxfId="3" priority="5" aboveAverage="0" percent="0" bottom="0" operator="containsText" text="Blocked" rank="0" equalAverage="0">
      <x:formula>NOT(ISERROR(SEARCH("Blocked",F5)))</x:formula>
    </x:cfRule>
  </x:conditionalFormatting>
  <x:dataValidations count="1">
    <x:dataValidation type="list" errorStyle="stop" operator="between" allowBlank="0" showDropDown="0" showInputMessage="0" showErrorMessage="0" sqref="F5:F12">
      <x:formula1>"Open,In Progress,Passed,Blocked,Not Applicable"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7" hidden="0" customWidth="1"/>
    <x:col min="2" max="2" width="24" hidden="0" customWidth="1"/>
    <x:col min="3" max="3" width="25" hidden="0" customWidth="1"/>
    <x:col min="4" max="4" width="30" hidden="0" customWidth="1"/>
    <x:col min="5" max="5" width="29" hidden="0" customWidth="1"/>
    <x:col min="6" max="6" width="37" hidden="0" customWidth="1"/>
    <x:col min="7" max="7" width="12" hidden="0" customWidth="1"/>
    <x:col min="8" max="9" width="31" hidden="0" customWidth="1"/>
    <x:col min="10" max="10" width="50" hidden="0" customWidth="1"/>
    <x:col min="11" max="11" width="36" hidden="0" customWidth="1"/>
    <x:col min="12" max="12" width="20" hidden="0" customWidth="1"/>
  </x:cols>
  <x:sheetData>
    <x:row r="1" ht="34" hidden="0" customHeight="1">
      <x:c r="A1" s="1" t="s">
        <x:v>29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7" hidden="0" customHeight="1">
      <x:c r="A2" s="2" t="s">
        <x:v>30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2" hidden="0" customHeight="1">
      <x:c r="A4" s="3" t="s">
        <x:v>31</x:v>
      </x:c>
      <x:c r="B4" s="3" t="s">
        <x:v>32</x:v>
      </x:c>
      <x:c r="C4" s="3" t="s">
        <x:v>33</x:v>
      </x:c>
      <x:c r="D4" s="3" t="s">
        <x:v>34</x:v>
      </x:c>
      <x:c r="E4" s="3" t="s">
        <x:v>35</x:v>
      </x:c>
      <x:c r="F4" s="3" t="s">
        <x:v>36</x:v>
      </x:c>
      <x:c r="G4" s="3" t="s">
        <x:v>37</x:v>
      </x:c>
      <x:c r="H4" s="3" t="s">
        <x:v>38</x:v>
      </x:c>
      <x:c r="I4" s="3" t="s">
        <x:v>39</x:v>
      </x:c>
      <x:c r="J4" s="3" t="s">
        <x:v>40</x:v>
      </x:c>
      <x:c r="K4" s="3" t="s">
        <x:v>41</x:v>
      </x:c>
      <x:c r="L4" s="3" t="s">
        <x:v>42</x:v>
      </x:c>
    </x:row>
    <x:row r="5" ht="72" hidden="0" customHeight="1">
      <x:c r="A5" s="4" t="n">
        <x:v>1</x:v>
      </x:c>
      <x:c r="B5" s="6" t="s">
        <x:v>43</x:v>
      </x:c>
      <x:c r="C5" s="6" t="s">
        <x:v>44</x:v>
      </x:c>
      <x:c r="D5" s="6" t="s">
        <x:v>45</x:v>
      </x:c>
      <x:c r="E5" s="6" t="s">
        <x:v>46</x:v>
      </x:c>
      <x:c r="F5" s="6" t="s">
        <x:v>47</x:v>
      </x:c>
      <x:c r="G5" s="6" t="s">
        <x:v>48</x:v>
      </x:c>
      <x:c r="H5" s="6" t="s">
        <x:v>49</x:v>
      </x:c>
      <x:c r="I5" s="6" t="s">
        <x:v>50</x:v>
      </x:c>
      <x:c r="J5" s="6" t="str">
        <x:v>AERS_Transform_Weeks_1_2_Assess_and_Personalise_Foundation_Pack_v2.0.docx</x:v>
      </x:c>
      <x:c r="K5" s="6" t="str">
        <x:v>Ingest Week 1 onboarding, consent, learner-context and baseline workflow</x:v>
      </x:c>
      <x:c r="L5" s="5" t="str">
        <x:v>Current and Verified</x:v>
      </x:c>
    </x:row>
    <x:row r="6" ht="72" hidden="0" customHeight="1">
      <x:c r="A6" s="7" t="n">
        <x:v>2</x:v>
      </x:c>
      <x:c r="B6" s="9" t="s">
        <x:v>43</x:v>
      </x:c>
      <x:c r="C6" s="9" t="s">
        <x:v>51</x:v>
      </x:c>
      <x:c r="D6" s="9" t="s">
        <x:v>52</x:v>
      </x:c>
      <x:c r="E6" s="9" t="s">
        <x:v>53</x:v>
      </x:c>
      <x:c r="F6" s="9" t="s">
        <x:v>54</x:v>
      </x:c>
      <x:c r="G6" s="9" t="s">
        <x:v>48</x:v>
      </x:c>
      <x:c r="H6" s="9" t="s">
        <x:v>55</x:v>
      </x:c>
      <x:c r="I6" s="9" t="s">
        <x:v>56</x:v>
      </x:c>
      <x:c r="J6" s="9" t="str">
        <x:v>AERS_Transform_Weeks_1_2_Assess_and_Personalise_Foundation_Pack_v2.0.docx</x:v>
      </x:c>
      <x:c r="K6" s="9" t="str">
        <x:v>Ingest Week 2 results explanation, pathway approval and Week 3 release controls</x:v>
      </x:c>
      <x:c r="L6" s="8" t="str">
        <x:v>Current and Verified</x:v>
      </x:c>
    </x:row>
    <x:row r="7" ht="72" hidden="0" customHeight="1">
      <x:c r="A7" s="7" t="n">
        <x:v>3</x:v>
      </x:c>
      <x:c r="B7" s="9" t="s">
        <x:v>57</x:v>
      </x:c>
      <x:c r="C7" s="9" t="s">
        <x:v>58</x:v>
      </x:c>
      <x:c r="D7" s="9" t="s">
        <x:v>59</x:v>
      </x:c>
      <x:c r="E7" s="9" t="s">
        <x:v>60</x:v>
      </x:c>
      <x:c r="F7" s="9" t="s">
        <x:v>61</x:v>
      </x:c>
      <x:c r="G7" s="9" t="s">
        <x:v>62</x:v>
      </x:c>
      <x:c r="H7" s="9" t="s">
        <x:v>63</x:v>
      </x:c>
      <x:c r="I7" s="9" t="s">
        <x:v>64</x:v>
      </x:c>
      <x:c r="J7" s="9" t="s">
        <x:v>65</x:v>
      </x:c>
      <x:c r="K7" s="9" t="s">
        <x:v>66</x:v>
      </x:c>
      <x:c r="L7" s="8" t="s">
        <x:v>67</x:v>
      </x:c>
    </x:row>
    <x:row r="8" ht="72" hidden="0" customHeight="1">
      <x:c r="A8" s="7" t="n">
        <x:v>4</x:v>
      </x:c>
      <x:c r="B8" s="9" t="s">
        <x:v>57</x:v>
      </x:c>
      <x:c r="C8" s="9" t="s">
        <x:v>68</x:v>
      </x:c>
      <x:c r="D8" s="9" t="s">
        <x:v>69</x:v>
      </x:c>
      <x:c r="E8" s="9" t="s">
        <x:v>70</x:v>
      </x:c>
      <x:c r="F8" s="9" t="s">
        <x:v>71</x:v>
      </x:c>
      <x:c r="G8" s="9" t="s">
        <x:v>62</x:v>
      </x:c>
      <x:c r="H8" s="9" t="s">
        <x:v>72</x:v>
      </x:c>
      <x:c r="I8" s="9" t="s">
        <x:v>73</x:v>
      </x:c>
      <x:c r="J8" s="9" t="s">
        <x:v>65</x:v>
      </x:c>
      <x:c r="K8" s="9" t="s">
        <x:v>74</x:v>
      </x:c>
      <x:c r="L8" s="8" t="s">
        <x:v>67</x:v>
      </x:c>
    </x:row>
    <x:row r="9" ht="72" hidden="0" customHeight="1">
      <x:c r="A9" s="7" t="n">
        <x:v>5</x:v>
      </x:c>
      <x:c r="B9" s="9" t="s">
        <x:v>75</x:v>
      </x:c>
      <x:c r="C9" s="9" t="s">
        <x:v>76</x:v>
      </x:c>
      <x:c r="D9" s="9" t="s">
        <x:v>77</x:v>
      </x:c>
      <x:c r="E9" s="9" t="s">
        <x:v>78</x:v>
      </x:c>
      <x:c r="F9" s="9" t="s">
        <x:v>79</x:v>
      </x:c>
      <x:c r="G9" s="9" t="s">
        <x:v>62</x:v>
      </x:c>
      <x:c r="H9" s="9" t="s">
        <x:v>63</x:v>
      </x:c>
      <x:c r="I9" s="9" t="s">
        <x:v>64</x:v>
      </x:c>
      <x:c r="J9" s="9" t="s">
        <x:v>80</x:v>
      </x:c>
      <x:c r="K9" s="9" t="s">
        <x:v>81</x:v>
      </x:c>
      <x:c r="L9" s="8" t="s">
        <x:v>67</x:v>
      </x:c>
    </x:row>
    <x:row r="10" ht="72" hidden="0" customHeight="1">
      <x:c r="A10" s="7" t="n">
        <x:v>6</x:v>
      </x:c>
      <x:c r="B10" s="9" t="s">
        <x:v>75</x:v>
      </x:c>
      <x:c r="C10" s="9" t="s">
        <x:v>82</x:v>
      </x:c>
      <x:c r="D10" s="9" t="s">
        <x:v>83</x:v>
      </x:c>
      <x:c r="E10" s="9" t="s">
        <x:v>84</x:v>
      </x:c>
      <x:c r="F10" s="9" t="s">
        <x:v>85</x:v>
      </x:c>
      <x:c r="G10" s="9" t="s">
        <x:v>62</x:v>
      </x:c>
      <x:c r="H10" s="9" t="s">
        <x:v>72</x:v>
      </x:c>
      <x:c r="I10" s="9" t="s">
        <x:v>73</x:v>
      </x:c>
      <x:c r="J10" s="9" t="s">
        <x:v>80</x:v>
      </x:c>
      <x:c r="K10" s="9" t="s">
        <x:v>86</x:v>
      </x:c>
      <x:c r="L10" s="8" t="s">
        <x:v>67</x:v>
      </x:c>
    </x:row>
    <x:row r="11" ht="72" hidden="0" customHeight="1">
      <x:c r="A11" s="7" t="n">
        <x:v>7</x:v>
      </x:c>
      <x:c r="B11" s="9" t="s">
        <x:v>87</x:v>
      </x:c>
      <x:c r="C11" s="9" t="s">
        <x:v>88</x:v>
      </x:c>
      <x:c r="D11" s="9" t="s">
        <x:v>89</x:v>
      </x:c>
      <x:c r="E11" s="9" t="s">
        <x:v>90</x:v>
      </x:c>
      <x:c r="F11" s="9" t="s">
        <x:v>91</x:v>
      </x:c>
      <x:c r="G11" s="9" t="s">
        <x:v>62</x:v>
      </x:c>
      <x:c r="H11" s="9" t="s">
        <x:v>63</x:v>
      </x:c>
      <x:c r="I11" s="9" t="s">
        <x:v>64</x:v>
      </x:c>
      <x:c r="J11" s="9" t="s">
        <x:v>92</x:v>
      </x:c>
      <x:c r="K11" s="9" t="s">
        <x:v>93</x:v>
      </x:c>
      <x:c r="L11" s="8" t="s">
        <x:v>67</x:v>
      </x:c>
    </x:row>
    <x:row r="12" ht="72" hidden="0" customHeight="1">
      <x:c r="A12" s="7" t="n">
        <x:v>8</x:v>
      </x:c>
      <x:c r="B12" s="9" t="s">
        <x:v>87</x:v>
      </x:c>
      <x:c r="C12" s="9" t="s">
        <x:v>94</x:v>
      </x:c>
      <x:c r="D12" s="9" t="s">
        <x:v>95</x:v>
      </x:c>
      <x:c r="E12" s="9" t="s">
        <x:v>96</x:v>
      </x:c>
      <x:c r="F12" s="9" t="s">
        <x:v>97</x:v>
      </x:c>
      <x:c r="G12" s="9" t="s">
        <x:v>62</x:v>
      </x:c>
      <x:c r="H12" s="9" t="s">
        <x:v>72</x:v>
      </x:c>
      <x:c r="I12" s="9" t="s">
        <x:v>73</x:v>
      </x:c>
      <x:c r="J12" s="9" t="s">
        <x:v>92</x:v>
      </x:c>
      <x:c r="K12" s="9" t="s">
        <x:v>98</x:v>
      </x:c>
      <x:c r="L12" s="8" t="s">
        <x:v>67</x:v>
      </x:c>
    </x:row>
    <x:row r="13" ht="72" hidden="0" customHeight="1">
      <x:c r="A13" s="7" t="n">
        <x:v>9</x:v>
      </x:c>
      <x:c r="B13" s="9" t="s">
        <x:v>99</x:v>
      </x:c>
      <x:c r="C13" s="9" t="s">
        <x:v>100</x:v>
      </x:c>
      <x:c r="D13" s="9" t="s">
        <x:v>101</x:v>
      </x:c>
      <x:c r="E13" s="9" t="s">
        <x:v>102</x:v>
      </x:c>
      <x:c r="F13" s="9" t="s">
        <x:v>103</x:v>
      </x:c>
      <x:c r="G13" s="9" t="s">
        <x:v>62</x:v>
      </x:c>
      <x:c r="H13" s="9" t="s">
        <x:v>63</x:v>
      </x:c>
      <x:c r="I13" s="9" t="s">
        <x:v>64</x:v>
      </x:c>
      <x:c r="J13" s="9" t="s">
        <x:v>104</x:v>
      </x:c>
      <x:c r="K13" s="9" t="s">
        <x:v>105</x:v>
      </x:c>
      <x:c r="L13" s="8" t="s">
        <x:v>67</x:v>
      </x:c>
    </x:row>
    <x:row r="14" ht="72" hidden="0" customHeight="1">
      <x:c r="A14" s="7" t="n">
        <x:v>10</x:v>
      </x:c>
      <x:c r="B14" s="9" t="s">
        <x:v>99</x:v>
      </x:c>
      <x:c r="C14" s="9" t="s">
        <x:v>106</x:v>
      </x:c>
      <x:c r="D14" s="9" t="s">
        <x:v>107</x:v>
      </x:c>
      <x:c r="E14" s="9" t="s">
        <x:v>108</x:v>
      </x:c>
      <x:c r="F14" s="9" t="s">
        <x:v>109</x:v>
      </x:c>
      <x:c r="G14" s="9" t="s">
        <x:v>62</x:v>
      </x:c>
      <x:c r="H14" s="9" t="s">
        <x:v>72</x:v>
      </x:c>
      <x:c r="I14" s="9" t="s">
        <x:v>73</x:v>
      </x:c>
      <x:c r="J14" s="9" t="s">
        <x:v>104</x:v>
      </x:c>
      <x:c r="K14" s="9" t="s">
        <x:v>110</x:v>
      </x:c>
      <x:c r="L14" s="8" t="s">
        <x:v>67</x:v>
      </x:c>
    </x:row>
    <x:row r="15" ht="72" hidden="0" customHeight="1">
      <x:c r="A15" s="7" t="n">
        <x:v>11</x:v>
      </x:c>
      <x:c r="B15" s="9" t="s">
        <x:v>111</x:v>
      </x:c>
      <x:c r="C15" s="9" t="s">
        <x:v>112</x:v>
      </x:c>
      <x:c r="D15" s="9" t="s">
        <x:v>113</x:v>
      </x:c>
      <x:c r="E15" s="9" t="s">
        <x:v>114</x:v>
      </x:c>
      <x:c r="F15" s="9" t="s">
        <x:v>115</x:v>
      </x:c>
      <x:c r="G15" s="9" t="s">
        <x:v>62</x:v>
      </x:c>
      <x:c r="H15" s="9" t="s">
        <x:v>63</x:v>
      </x:c>
      <x:c r="I15" s="9" t="s">
        <x:v>64</x:v>
      </x:c>
      <x:c r="J15" s="9" t="s">
        <x:v>116</x:v>
      </x:c>
      <x:c r="K15" s="9" t="s">
        <x:v>117</x:v>
      </x:c>
      <x:c r="L15" s="8" t="s">
        <x:v>67</x:v>
      </x:c>
    </x:row>
    <x:row r="16" ht="72" hidden="0" customHeight="1">
      <x:c r="A16" s="7" t="n">
        <x:v>12</x:v>
      </x:c>
      <x:c r="B16" s="9" t="s">
        <x:v>111</x:v>
      </x:c>
      <x:c r="C16" s="9" t="s">
        <x:v>118</x:v>
      </x:c>
      <x:c r="D16" s="9" t="s">
        <x:v>119</x:v>
      </x:c>
      <x:c r="E16" s="9" t="s">
        <x:v>120</x:v>
      </x:c>
      <x:c r="F16" s="9" t="s">
        <x:v>121</x:v>
      </x:c>
      <x:c r="G16" s="9" t="s">
        <x:v>62</x:v>
      </x:c>
      <x:c r="H16" s="9" t="s">
        <x:v>72</x:v>
      </x:c>
      <x:c r="I16" s="9" t="s">
        <x:v>73</x:v>
      </x:c>
      <x:c r="J16" s="9" t="s">
        <x:v>116</x:v>
      </x:c>
      <x:c r="K16" s="9" t="s">
        <x:v>122</x:v>
      </x:c>
      <x:c r="L16" s="8" t="s">
        <x:v>67</x:v>
      </x:c>
    </x:row>
    <x:row r="17" ht="72" hidden="0" customHeight="1">
      <x:c r="A17" s="7" t="n">
        <x:v>13</x:v>
      </x:c>
      <x:c r="B17" s="9" t="s">
        <x:v>123</x:v>
      </x:c>
      <x:c r="C17" s="9" t="s">
        <x:v>124</x:v>
      </x:c>
      <x:c r="D17" s="9" t="s">
        <x:v>125</x:v>
      </x:c>
      <x:c r="E17" s="9" t="s">
        <x:v>126</x:v>
      </x:c>
      <x:c r="F17" s="9" t="s">
        <x:v>127</x:v>
      </x:c>
      <x:c r="G17" s="9" t="s">
        <x:v>62</x:v>
      </x:c>
      <x:c r="H17" s="9" t="s">
        <x:v>63</x:v>
      </x:c>
      <x:c r="I17" s="9" t="s">
        <x:v>64</x:v>
      </x:c>
      <x:c r="J17" s="9" t="s">
        <x:v>128</x:v>
      </x:c>
      <x:c r="K17" s="9" t="s">
        <x:v>129</x:v>
      </x:c>
      <x:c r="L17" s="8" t="s">
        <x:v>67</x:v>
      </x:c>
    </x:row>
    <x:row r="18" ht="72" hidden="0" customHeight="1">
      <x:c r="A18" s="7" t="n">
        <x:v>14</x:v>
      </x:c>
      <x:c r="B18" s="9" t="s">
        <x:v>123</x:v>
      </x:c>
      <x:c r="C18" s="9" t="s">
        <x:v>130</x:v>
      </x:c>
      <x:c r="D18" s="9" t="s">
        <x:v>131</x:v>
      </x:c>
      <x:c r="E18" s="9" t="s">
        <x:v>132</x:v>
      </x:c>
      <x:c r="F18" s="9" t="s">
        <x:v>133</x:v>
      </x:c>
      <x:c r="G18" s="9" t="s">
        <x:v>62</x:v>
      </x:c>
      <x:c r="H18" s="9" t="s">
        <x:v>72</x:v>
      </x:c>
      <x:c r="I18" s="9" t="s">
        <x:v>73</x:v>
      </x:c>
      <x:c r="J18" s="9" t="s">
        <x:v>128</x:v>
      </x:c>
      <x:c r="K18" s="9" t="s">
        <x:v>134</x:v>
      </x:c>
      <x:c r="L18" s="8" t="s">
        <x:v>67</x:v>
      </x:c>
    </x:row>
    <x:row r="19" ht="72" hidden="0" customHeight="1">
      <x:c r="A19" s="7" t="n">
        <x:v>15</x:v>
      </x:c>
      <x:c r="B19" s="9" t="s">
        <x:v>135</x:v>
      </x:c>
      <x:c r="C19" s="9" t="s">
        <x:v>136</x:v>
      </x:c>
      <x:c r="D19" s="9" t="s">
        <x:v>137</x:v>
      </x:c>
      <x:c r="E19" s="9" t="s">
        <x:v>138</x:v>
      </x:c>
      <x:c r="F19" s="9" t="s">
        <x:v>139</x:v>
      </x:c>
      <x:c r="G19" s="9" t="s">
        <x:v>140</x:v>
      </x:c>
      <x:c r="H19" s="9" t="s">
        <x:v>141</x:v>
      </x:c>
      <x:c r="I19" s="9" t="s">
        <x:v>142</x:v>
      </x:c>
      <x:c r="J19" s="9" t="s">
        <x:v>143</x:v>
      </x:c>
      <x:c r="K19" s="9" t="s">
        <x:v>144</x:v>
      </x:c>
      <x:c r="L19" s="8" t="s">
        <x:v>67</x:v>
      </x:c>
    </x:row>
    <x:row r="20" ht="72" hidden="0" customHeight="1">
      <x:c r="A20" s="10" t="n">
        <x:v>16</x:v>
      </x:c>
      <x:c r="B20" s="12" t="s">
        <x:v>145</x:v>
      </x:c>
      <x:c r="C20" s="12" t="s">
        <x:v>146</x:v>
      </x:c>
      <x:c r="D20" s="12" t="s">
        <x:v>147</x:v>
      </x:c>
      <x:c r="E20" s="12" t="s">
        <x:v>148</x:v>
      </x:c>
      <x:c r="F20" s="12" t="s">
        <x:v>149</x:v>
      </x:c>
      <x:c r="G20" s="12" t="s">
        <x:v>150</x:v>
      </x:c>
      <x:c r="H20" s="12" t="s">
        <x:v>151</x:v>
      </x:c>
      <x:c r="I20" s="12" t="s">
        <x:v>152</x:v>
      </x:c>
      <x:c r="J20" s="12" t="s">
        <x:v>153</x:v>
      </x:c>
      <x:c r="K20" s="12" t="s">
        <x:v>154</x:v>
      </x:c>
      <x:c r="L20" s="13" t="s">
        <x:v>67</x:v>
      </x:c>
    </x:row>
  </x:sheetData>
  <x:mergeCells>
    <x:mergeCell ref="A1:L1"/>
    <x:mergeCell ref="A2:L2"/>
  </x:mergeCells>
  <x:conditionalFormatting sqref="A5:L20">
    <x:cfRule type="expression" dxfId="4" priority="2" aboveAverage="0" percent="0" bottom="0" rank="0" equalAverage="0">
      <x:formula>MOD(ROW(),2)=1</x:formula>
    </x:cfRule>
  </x:conditionalFormatting>
  <x:conditionalFormatting sqref="L5:L20">
    <x:cfRule type="containsText" dxfId="5" priority="3" aboveAverage="0" percent="0" bottom="0" operator="containsText" text="Current and Verified" rank="0" equalAverage="0">
      <x:formula>NOT(ISERROR(SEARCH("Current and Verified",L5)))</x:formula>
    </x:cfRule>
    <x:cfRule type="containsText" dxfId="6" priority="4" aboveAverage="0" percent="0" bottom="0" operator="containsText" text="Alignment Review" rank="0" equalAverage="0">
      <x:formula>NOT(ISERROR(SEARCH("Alignment Review",L5)))</x:formula>
    </x:cfRule>
  </x:conditionalFormatting>
  <x:dataValidations count="1">
    <x:dataValidation type="list" errorStyle="stop" operator="between" allowBlank="0" showDropDown="0" showInputMessage="0" showErrorMessage="0" sqref="L5:L20">
      <x:formula1>"Current and Verified,Alignment Review,Developer Action,Institution Approval,Blocked"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18" hidden="0" customWidth="1"/>
    <x:col min="3" max="3" width="9" hidden="0" customWidth="1"/>
    <x:col min="4" max="4" width="30" hidden="0" customWidth="1"/>
    <x:col min="5" max="5" width="56" hidden="0" customWidth="1"/>
    <x:col min="6" max="6" width="46" hidden="0" customWidth="1"/>
    <x:col min="7" max="7" width="23" hidden="0" customWidth="1"/>
    <x:col min="8" max="8" width="21" hidden="0" customWidth="1"/>
    <x:col min="9" max="10" width="39" hidden="0" customWidth="1"/>
  </x:cols>
  <x:sheetData>
    <x:row r="1" ht="34" hidden="0" customHeight="1">
      <x:c r="A1" s="1" t="s">
        <x:v>155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7" hidden="0" customHeight="1">
      <x:c r="A2" s="2" t="s">
        <x:v>156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32" hidden="0" customHeight="1">
      <x:c r="A4" s="3" t="s">
        <x:v>157</x:v>
      </x:c>
      <x:c r="B4" s="3" t="s">
        <x:v>158</x:v>
      </x:c>
      <x:c r="C4" s="3" t="s">
        <x:v>159</x:v>
      </x:c>
      <x:c r="D4" s="3" t="s">
        <x:v>160</x:v>
      </x:c>
      <x:c r="E4" s="3" t="s">
        <x:v>161</x:v>
      </x:c>
      <x:c r="F4" s="3" t="s">
        <x:v>162</x:v>
      </x:c>
      <x:c r="G4" s="3" t="s">
        <x:v>163</x:v>
      </x:c>
      <x:c r="H4" s="3" t="s">
        <x:v>5</x:v>
      </x:c>
      <x:c r="I4" s="3" t="s">
        <x:v>164</x:v>
      </x:c>
      <x:c r="J4" s="3" t="s">
        <x:v>165</x:v>
      </x:c>
    </x:row>
    <x:row r="5" ht="58" hidden="0" customHeight="1">
      <x:c r="A5" s="4" t="s">
        <x:v>166</x:v>
      </x:c>
      <x:c r="B5" s="6" t="s">
        <x:v>167</x:v>
      </x:c>
      <x:c r="C5" s="6" t="s">
        <x:v>168</x:v>
      </x:c>
      <x:c r="D5" s="6" t="str">
        <x:v>Week 1 onboarding, consent and baseline</x:v>
      </x:c>
      <x:c r="E5" s="6" t="str">
        <x:v>AERS_Transform_Weeks_1_2_Assess_and_Personalise_Foundation_Pack_v2.0.docx</x:v>
      </x:c>
      <x:c r="F5" s="6" t="s">
        <x:v>169</x:v>
      </x:c>
      <x:c r="G5" s="6" t="str">
        <x:v>Regenerated and Verified</x:v>
      </x:c>
      <x:c r="H5" s="6" t="s">
        <x:v>9</x:v>
      </x:c>
      <x:c r="I5" s="6" t="s">
        <x:v>170</x:v>
      </x:c>
      <x:c r="J5" s="5" t="str">
        <x:v>Lock checksum and map Week 1 content objects</x:v>
      </x:c>
    </x:row>
    <x:row r="6" ht="58" hidden="0" customHeight="1">
      <x:c r="A6" s="7" t="s">
        <x:v>171</x:v>
      </x:c>
      <x:c r="B6" s="9" t="s">
        <x:v>167</x:v>
      </x:c>
      <x:c r="C6" s="9" t="s">
        <x:v>172</x:v>
      </x:c>
      <x:c r="D6" s="9" t="str">
        <x:v>Week 2 results and personalised pathway</x:v>
      </x:c>
      <x:c r="E6" s="9" t="str">
        <x:v>AERS_Transform_Weeks_1_2_Assess_and_Personalise_Foundation_Pack_v2.0.docx</x:v>
      </x:c>
      <x:c r="F6" s="9" t="s">
        <x:v>173</x:v>
      </x:c>
      <x:c r="G6" s="9" t="str">
        <x:v>Regenerated and Verified</x:v>
      </x:c>
      <x:c r="H6" s="9" t="s">
        <x:v>9</x:v>
      </x:c>
      <x:c r="I6" s="9" t="s">
        <x:v>174</x:v>
      </x:c>
      <x:c r="J6" s="8" t="str">
        <x:v>Lock checksum and map Week 2 content objects</x:v>
      </x:c>
    </x:row>
    <x:row r="7" ht="58" hidden="0" customHeight="1">
      <x:c r="A7" s="7" t="s">
        <x:v>175</x:v>
      </x:c>
      <x:c r="B7" s="9" t="s">
        <x:v>176</x:v>
      </x:c>
      <x:c r="C7" s="9" t="s">
        <x:v>177</x:v>
      </x:c>
      <x:c r="D7" s="9" t="s">
        <x:v>57</x:v>
      </x:c>
      <x:c r="E7" s="9" t="s">
        <x:v>65</x:v>
      </x:c>
      <x:c r="F7" s="9" t="s">
        <x:v>178</x:v>
      </x:c>
      <x:c r="G7" s="9" t="s">
        <x:v>179</x:v>
      </x:c>
      <x:c r="H7" s="9" t="s">
        <x:v>12</x:v>
      </x:c>
      <x:c r="I7" s="9" t="s">
        <x:v>180</x:v>
      </x:c>
      <x:c r="J7" s="8" t="s">
        <x:v>181</x:v>
      </x:c>
    </x:row>
    <x:row r="8" ht="58" hidden="0" customHeight="1">
      <x:c r="A8" s="7" t="s">
        <x:v>182</x:v>
      </x:c>
      <x:c r="B8" s="9" t="s">
        <x:v>176</x:v>
      </x:c>
      <x:c r="C8" s="9" t="s">
        <x:v>183</x:v>
      </x:c>
      <x:c r="D8" s="9" t="s">
        <x:v>184</x:v>
      </x:c>
      <x:c r="E8" s="9" t="s">
        <x:v>80</x:v>
      </x:c>
      <x:c r="F8" s="9" t="s">
        <x:v>185</x:v>
      </x:c>
      <x:c r="G8" s="9" t="s">
        <x:v>179</x:v>
      </x:c>
      <x:c r="H8" s="9" t="s">
        <x:v>12</x:v>
      </x:c>
      <x:c r="I8" s="9" t="s">
        <x:v>180</x:v>
      </x:c>
      <x:c r="J8" s="8" t="s">
        <x:v>181</x:v>
      </x:c>
    </x:row>
    <x:row r="9" ht="58" hidden="0" customHeight="1">
      <x:c r="A9" s="7" t="s">
        <x:v>186</x:v>
      </x:c>
      <x:c r="B9" s="9" t="s">
        <x:v>176</x:v>
      </x:c>
      <x:c r="C9" s="9" t="s">
        <x:v>187</x:v>
      </x:c>
      <x:c r="D9" s="9" t="s">
        <x:v>188</x:v>
      </x:c>
      <x:c r="E9" s="9" t="s">
        <x:v>92</x:v>
      </x:c>
      <x:c r="F9" s="9" t="s">
        <x:v>189</x:v>
      </x:c>
      <x:c r="G9" s="9" t="s">
        <x:v>179</x:v>
      </x:c>
      <x:c r="H9" s="9" t="s">
        <x:v>12</x:v>
      </x:c>
      <x:c r="I9" s="9" t="s">
        <x:v>190</x:v>
      </x:c>
      <x:c r="J9" s="8" t="s">
        <x:v>181</x:v>
      </x:c>
    </x:row>
    <x:row r="10" ht="58" hidden="0" customHeight="1">
      <x:c r="A10" s="7" t="s">
        <x:v>191</x:v>
      </x:c>
      <x:c r="B10" s="9" t="s">
        <x:v>176</x:v>
      </x:c>
      <x:c r="C10" s="9" t="s">
        <x:v>192</x:v>
      </x:c>
      <x:c r="D10" s="9" t="s">
        <x:v>193</x:v>
      </x:c>
      <x:c r="E10" s="9" t="s">
        <x:v>104</x:v>
      </x:c>
      <x:c r="F10" s="9" t="s">
        <x:v>194</x:v>
      </x:c>
      <x:c r="G10" s="9" t="s">
        <x:v>179</x:v>
      </x:c>
      <x:c r="H10" s="9" t="s">
        <x:v>16</x:v>
      </x:c>
      <x:c r="I10" s="9" t="s">
        <x:v>195</x:v>
      </x:c>
      <x:c r="J10" s="8" t="s">
        <x:v>181</x:v>
      </x:c>
    </x:row>
    <x:row r="11" ht="58" hidden="0" customHeight="1">
      <x:c r="A11" s="7" t="s">
        <x:v>196</x:v>
      </x:c>
      <x:c r="B11" s="9" t="s">
        <x:v>176</x:v>
      </x:c>
      <x:c r="C11" s="9" t="s">
        <x:v>197</x:v>
      </x:c>
      <x:c r="D11" s="9" t="s">
        <x:v>111</x:v>
      </x:c>
      <x:c r="E11" s="9" t="s">
        <x:v>116</x:v>
      </x:c>
      <x:c r="F11" s="9" t="s">
        <x:v>198</x:v>
      </x:c>
      <x:c r="G11" s="9" t="s">
        <x:v>179</x:v>
      </x:c>
      <x:c r="H11" s="9" t="s">
        <x:v>12</x:v>
      </x:c>
      <x:c r="I11" s="9" t="s">
        <x:v>199</x:v>
      </x:c>
      <x:c r="J11" s="8" t="s">
        <x:v>181</x:v>
      </x:c>
    </x:row>
    <x:row r="12" ht="58" hidden="0" customHeight="1">
      <x:c r="A12" s="7" t="s">
        <x:v>200</x:v>
      </x:c>
      <x:c r="B12" s="9" t="s">
        <x:v>176</x:v>
      </x:c>
      <x:c r="C12" s="9" t="s">
        <x:v>201</x:v>
      </x:c>
      <x:c r="D12" s="9" t="s">
        <x:v>123</x:v>
      </x:c>
      <x:c r="E12" s="9" t="s">
        <x:v>128</x:v>
      </x:c>
      <x:c r="F12" s="9" t="s">
        <x:v>202</x:v>
      </x:c>
      <x:c r="G12" s="9" t="s">
        <x:v>179</x:v>
      </x:c>
      <x:c r="H12" s="9" t="s">
        <x:v>16</x:v>
      </x:c>
      <x:c r="I12" s="9" t="s">
        <x:v>203</x:v>
      </x:c>
      <x:c r="J12" s="8" t="s">
        <x:v>181</x:v>
      </x:c>
    </x:row>
    <x:row r="13" ht="58" hidden="0" customHeight="1">
      <x:c r="A13" s="7" t="s">
        <x:v>204</x:v>
      </x:c>
      <x:c r="B13" s="9" t="s">
        <x:v>205</x:v>
      </x:c>
      <x:c r="C13" s="9" t="s">
        <x:v>206</x:v>
      </x:c>
      <x:c r="D13" s="9" t="s">
        <x:v>207</x:v>
      </x:c>
      <x:c r="E13" s="9" t="s">
        <x:v>143</x:v>
      </x:c>
      <x:c r="F13" s="9" t="s">
        <x:v>208</x:v>
      </x:c>
      <x:c r="G13" s="9" t="s">
        <x:v>179</x:v>
      </x:c>
      <x:c r="H13" s="9" t="s">
        <x:v>16</x:v>
      </x:c>
      <x:c r="I13" s="9" t="s">
        <x:v>209</x:v>
      </x:c>
      <x:c r="J13" s="8" t="s">
        <x:v>210</x:v>
      </x:c>
    </x:row>
    <x:row r="14" ht="58" hidden="0" customHeight="1">
      <x:c r="A14" s="10" t="s">
        <x:v>211</x:v>
      </x:c>
      <x:c r="B14" s="12" t="s">
        <x:v>205</x:v>
      </x:c>
      <x:c r="C14" s="12" t="s">
        <x:v>212</x:v>
      </x:c>
      <x:c r="D14" s="12" t="s">
        <x:v>213</x:v>
      </x:c>
      <x:c r="E14" s="12" t="s">
        <x:v>153</x:v>
      </x:c>
      <x:c r="F14" s="12" t="s">
        <x:v>214</x:v>
      </x:c>
      <x:c r="G14" s="12" t="s">
        <x:v>179</x:v>
      </x:c>
      <x:c r="H14" s="12" t="s">
        <x:v>9</x:v>
      </x:c>
      <x:c r="I14" s="12" t="s">
        <x:v>215</x:v>
      </x:c>
      <x:c r="J14" s="13" t="s">
        <x:v>216</x:v>
      </x:c>
    </x:row>
  </x:sheetData>
  <x:mergeCells>
    <x:mergeCell ref="A1:J1"/>
    <x:mergeCell ref="A2:J2"/>
  </x:mergeCells>
  <x:conditionalFormatting sqref="A5:J14">
    <x:cfRule type="expression" dxfId="7" priority="2" aboveAverage="0" percent="0" bottom="0" rank="0" equalAverage="0">
      <x:formula>MOD(ROW(),2)=1</x:formula>
    </x:cfRule>
  </x:conditionalFormatting>
  <x:conditionalFormatting sqref="G5:G14">
    <x:cfRule type="containsText" dxfId="8" priority="3" aboveAverage="0" percent="0" bottom="0" operator="containsText" text="Regenerated and Verified" rank="0" equalAverage="0">
      <x:formula>NOT(ISERROR(SEARCH("Regenerated and Verified",G5)))</x:formula>
    </x:cfRule>
    <x:cfRule type="containsText" dxfId="9" priority="4" aboveAverage="0" percent="0" bottom="0" operator="containsText" text="Alignment Review" rank="0" equalAverage="0">
      <x:formula>NOT(ISERROR(SEARCH("Alignment Review",G5)))</x:formula>
    </x:cfRule>
  </x:conditionalFormatting>
  <x:dataValidations count="1">
    <x:dataValidation type="list" errorStyle="stop" operator="between" allowBlank="0" showDropDown="0" showInputMessage="0" showErrorMessage="0" sqref="G5:G14">
      <x:formula1>"Regenerated and Verified,Alignment Review,Developer Action,Institution Approval,Blocked,Superseded"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24" hidden="0" customWidth="1"/>
    <x:col min="2" max="2" width="43" hidden="0" customWidth="1"/>
    <x:col min="3" max="3" width="27" hidden="0" customWidth="1"/>
    <x:col min="4" max="5" width="31" hidden="0" customWidth="1"/>
    <x:col min="6" max="6" width="44" hidden="0" customWidth="1"/>
    <x:col min="7" max="7" width="33" hidden="0" customWidth="1"/>
    <x:col min="8" max="8" width="23" hidden="0" customWidth="1"/>
    <x:col min="9" max="9" width="15" hidden="0" customWidth="1"/>
  </x:cols>
  <x:sheetData>
    <x:row r="1" ht="34" hidden="0" customHeight="1">
      <x:c r="A1" s="1" t="s">
        <x:v>217</x:v>
      </x:c>
      <x:c r="B1" s="1"/>
      <x:c r="C1" s="1"/>
      <x:c r="D1" s="1"/>
      <x:c r="E1" s="1"/>
      <x:c r="F1" s="1"/>
      <x:c r="G1" s="1"/>
      <x:c r="H1" s="1"/>
      <x:c r="I1" s="1"/>
    </x:row>
    <x:row r="2" ht="27" hidden="0" customHeight="1">
      <x:c r="A2" s="2" t="s">
        <x:v>218</x:v>
      </x:c>
      <x:c r="B2" s="2"/>
      <x:c r="C2" s="2"/>
      <x:c r="D2" s="2"/>
      <x:c r="E2" s="2"/>
      <x:c r="F2" s="2"/>
      <x:c r="G2" s="2"/>
      <x:c r="H2" s="2"/>
      <x:c r="I2" s="2"/>
    </x:row>
    <x:row r="4" ht="32" hidden="0" customHeight="1">
      <x:c r="A4" s="3" t="s">
        <x:v>219</x:v>
      </x:c>
      <x:c r="B4" s="3" t="s">
        <x:v>220</x:v>
      </x:c>
      <x:c r="C4" s="3" t="s">
        <x:v>221</x:v>
      </x:c>
      <x:c r="D4" s="3" t="s">
        <x:v>222</x:v>
      </x:c>
      <x:c r="E4" s="3" t="s">
        <x:v>223</x:v>
      </x:c>
      <x:c r="F4" s="3" t="s">
        <x:v>224</x:v>
      </x:c>
      <x:c r="G4" s="3" t="s">
        <x:v>225</x:v>
      </x:c>
      <x:c r="H4" s="3" t="s">
        <x:v>5</x:v>
      </x:c>
      <x:c r="I4" s="3" t="s">
        <x:v>6</x:v>
      </x:c>
    </x:row>
    <x:row r="5" ht="68" hidden="0" customHeight="1">
      <x:c r="A5" s="4" t="s">
        <x:v>226</x:v>
      </x:c>
      <x:c r="B5" s="6" t="str">
        <x:v>Role-based onboarding, consent versioning, learner context, baseline instruments and cohort isolation</x:v>
      </x:c>
      <x:c r="C5" s="6" t="str">
        <x:v>Activate account, review programme rules, provide consent and complete baseline</x:v>
      </x:c>
      <x:c r="D5" s="6" t="str">
        <x:v>Resolve consent, access, safeguarding and completeness exceptions</x:v>
      </x:c>
      <x:c r="E5" s="6" t="str">
        <x:v>Timestamped profile, consent record and Baseline Readiness Profile</x:v>
      </x:c>
      <x:c r="F5" s="6" t="str">
        <x:v>No participation without required consent; baseline is not final ERI</x:v>
      </x:c>
      <x:c r="G5" s="6" t="str">
        <x:v>Week 1 standard, exception, hold and audit journeys</x:v>
      </x:c>
      <x:c r="H5" s="6" t="s">
        <x:v>227</x:v>
      </x:c>
      <x:c r="I5" s="5" t="s">
        <x:v>21</x:v>
      </x:c>
    </x:row>
    <x:row r="6" ht="68" hidden="0" customHeight="1">
      <x:c r="A6" s="7" t="s">
        <x:v>228</x:v>
      </x:c>
      <x:c r="B6" s="9" t="str">
        <x:v>Explain baseline results, capture priorities and generate a pathway for authorised approval</x:v>
      </x:c>
      <x:c r="C6" s="9" t="str">
        <x:v>Review results, confirm goals, acknowledge expectations and accept the approved plan</x:v>
      </x:c>
      <x:c r="D6" s="9" t="str">
        <x:v>Explain limitations, approve priorities, support and pathway, or place a hold</x:v>
      </x:c>
      <x:c r="E6" s="9" t="str">
        <x:v>Approved Personalised Pathway, initial Career Action Plan and Week 3 release decision</x:v>
      </x:c>
      <x:c r="F6" s="9" t="str">
        <x:v>No unsupported automated readiness decision; no Module 1 release while a critical hold remains</x:v>
      </x:c>
      <x:c r="G6" s="9" t="str">
        <x:v>Week 2 pathway, exception, hold and Week 3 release journeys</x:v>
      </x:c>
      <x:c r="H6" s="9" t="s">
        <x:v>16</x:v>
      </x:c>
      <x:c r="I6" s="8" t="s">
        <x:v>21</x:v>
      </x:c>
    </x:row>
    <x:row r="7" ht="68" hidden="0" customHeight="1">
      <x:c r="A7" s="7" t="s">
        <x:v>229</x:v>
      </x:c>
      <x:c r="B7" s="9" t="s">
        <x:v>230</x:v>
      </x:c>
      <x:c r="C7" s="9" t="s">
        <x:v>231</x:v>
      </x:c>
      <x:c r="D7" s="9" t="s">
        <x:v>232</x:v>
      </x:c>
      <x:c r="E7" s="9" t="s">
        <x:v>233</x:v>
      </x:c>
      <x:c r="F7" s="9" t="s">
        <x:v>234</x:v>
      </x:c>
      <x:c r="G7" s="9" t="s">
        <x:v>235</x:v>
      </x:c>
      <x:c r="H7" s="9" t="s">
        <x:v>236</x:v>
      </x:c>
      <x:c r="I7" s="8" t="s">
        <x:v>21</x:v>
      </x:c>
    </x:row>
    <x:row r="8" ht="68" hidden="0" customHeight="1">
      <x:c r="A8" s="7" t="s">
        <x:v>237</x:v>
      </x:c>
      <x:c r="B8" s="9" t="s">
        <x:v>238</x:v>
      </x:c>
      <x:c r="C8" s="9" t="s">
        <x:v>239</x:v>
      </x:c>
      <x:c r="D8" s="9" t="s">
        <x:v>240</x:v>
      </x:c>
      <x:c r="E8" s="9" t="s">
        <x:v>241</x:v>
      </x:c>
      <x:c r="F8" s="9" t="s">
        <x:v>242</x:v>
      </x:c>
      <x:c r="G8" s="9" t="s">
        <x:v>243</x:v>
      </x:c>
      <x:c r="H8" s="9" t="s">
        <x:v>244</x:v>
      </x:c>
      <x:c r="I8" s="8" t="s">
        <x:v>21</x:v>
      </x:c>
    </x:row>
    <x:row r="9" ht="68" hidden="0" customHeight="1">
      <x:c r="A9" s="7" t="s">
        <x:v>245</x:v>
      </x:c>
      <x:c r="B9" s="9" t="s">
        <x:v>246</x:v>
      </x:c>
      <x:c r="C9" s="9" t="s">
        <x:v>247</x:v>
      </x:c>
      <x:c r="D9" s="9" t="s">
        <x:v>248</x:v>
      </x:c>
      <x:c r="E9" s="9" t="s">
        <x:v>249</x:v>
      </x:c>
      <x:c r="F9" s="9" t="s">
        <x:v>250</x:v>
      </x:c>
      <x:c r="G9" s="9" t="s">
        <x:v>251</x:v>
      </x:c>
      <x:c r="H9" s="9" t="s">
        <x:v>244</x:v>
      </x:c>
      <x:c r="I9" s="8" t="s">
        <x:v>21</x:v>
      </x:c>
    </x:row>
    <x:row r="10" ht="68" hidden="0" customHeight="1">
      <x:c r="A10" s="7" t="s">
        <x:v>252</x:v>
      </x:c>
      <x:c r="B10" s="9" t="s">
        <x:v>253</x:v>
      </x:c>
      <x:c r="C10" s="9" t="s">
        <x:v>254</x:v>
      </x:c>
      <x:c r="D10" s="9" t="s">
        <x:v>255</x:v>
      </x:c>
      <x:c r="E10" s="9" t="s">
        <x:v>256</x:v>
      </x:c>
      <x:c r="F10" s="9" t="s">
        <x:v>257</x:v>
      </x:c>
      <x:c r="G10" s="9" t="s">
        <x:v>258</x:v>
      </x:c>
      <x:c r="H10" s="9" t="s">
        <x:v>16</x:v>
      </x:c>
      <x:c r="I10" s="8" t="s">
        <x:v>21</x:v>
      </x:c>
    </x:row>
    <x:row r="11" ht="68" hidden="0" customHeight="1">
      <x:c r="A11" s="7" t="s">
        <x:v>259</x:v>
      </x:c>
      <x:c r="B11" s="9" t="s">
        <x:v>260</x:v>
      </x:c>
      <x:c r="C11" s="9" t="s">
        <x:v>261</x:v>
      </x:c>
      <x:c r="D11" s="9" t="s">
        <x:v>262</x:v>
      </x:c>
      <x:c r="E11" s="9" t="s">
        <x:v>263</x:v>
      </x:c>
      <x:c r="F11" s="9" t="s">
        <x:v>264</x:v>
      </x:c>
      <x:c r="G11" s="9" t="s">
        <x:v>265</x:v>
      </x:c>
      <x:c r="H11" s="9" t="s">
        <x:v>244</x:v>
      </x:c>
      <x:c r="I11" s="8" t="s">
        <x:v>21</x:v>
      </x:c>
    </x:row>
    <x:row r="12" ht="68" hidden="0" customHeight="1">
      <x:c r="A12" s="7" t="s">
        <x:v>266</x:v>
      </x:c>
      <x:c r="B12" s="9" t="s">
        <x:v>267</x:v>
      </x:c>
      <x:c r="C12" s="9" t="s">
        <x:v>268</x:v>
      </x:c>
      <x:c r="D12" s="9" t="s">
        <x:v>269</x:v>
      </x:c>
      <x:c r="E12" s="9" t="s">
        <x:v>270</x:v>
      </x:c>
      <x:c r="F12" s="9" t="s">
        <x:v>271</x:v>
      </x:c>
      <x:c r="G12" s="9" t="s">
        <x:v>272</x:v>
      </x:c>
      <x:c r="H12" s="9" t="s">
        <x:v>273</x:v>
      </x:c>
      <x:c r="I12" s="8" t="s">
        <x:v>21</x:v>
      </x:c>
    </x:row>
    <x:row r="13" ht="68" hidden="0" customHeight="1">
      <x:c r="A13" s="7" t="s">
        <x:v>274</x:v>
      </x:c>
      <x:c r="B13" s="9" t="s">
        <x:v>275</x:v>
      </x:c>
      <x:c r="C13" s="9" t="s">
        <x:v>276</x:v>
      </x:c>
      <x:c r="D13" s="9" t="s">
        <x:v>277</x:v>
      </x:c>
      <x:c r="E13" s="9" t="s">
        <x:v>278</x:v>
      </x:c>
      <x:c r="F13" s="9" t="s">
        <x:v>279</x:v>
      </x:c>
      <x:c r="G13" s="9" t="s">
        <x:v>280</x:v>
      </x:c>
      <x:c r="H13" s="9" t="s">
        <x:v>16</x:v>
      </x:c>
      <x:c r="I13" s="8" t="s">
        <x:v>21</x:v>
      </x:c>
    </x:row>
    <x:row r="14" ht="68" hidden="0" customHeight="1">
      <x:c r="A14" s="7" t="s">
        <x:v>281</x:v>
      </x:c>
      <x:c r="B14" s="9" t="s">
        <x:v>282</x:v>
      </x:c>
      <x:c r="C14" s="9" t="s">
        <x:v>283</x:v>
      </x:c>
      <x:c r="D14" s="9" t="s">
        <x:v>284</x:v>
      </x:c>
      <x:c r="E14" s="9" t="s">
        <x:v>285</x:v>
      </x:c>
      <x:c r="F14" s="9" t="s">
        <x:v>286</x:v>
      </x:c>
      <x:c r="G14" s="9" t="s">
        <x:v>287</x:v>
      </x:c>
      <x:c r="H14" s="9" t="s">
        <x:v>9</x:v>
      </x:c>
      <x:c r="I14" s="8" t="s">
        <x:v>21</x:v>
      </x:c>
    </x:row>
    <x:row r="15" ht="68" hidden="0" customHeight="1">
      <x:c r="A15" s="7" t="s">
        <x:v>288</x:v>
      </x:c>
      <x:c r="B15" s="9" t="s">
        <x:v>289</x:v>
      </x:c>
      <x:c r="C15" s="9" t="s">
        <x:v>290</x:v>
      </x:c>
      <x:c r="D15" s="9" t="s">
        <x:v>291</x:v>
      </x:c>
      <x:c r="E15" s="9" t="s">
        <x:v>292</x:v>
      </x:c>
      <x:c r="F15" s="9" t="s">
        <x:v>293</x:v>
      </x:c>
      <x:c r="G15" s="9" t="s">
        <x:v>294</x:v>
      </x:c>
      <x:c r="H15" s="9" t="s">
        <x:v>27</x:v>
      </x:c>
      <x:c r="I15" s="8" t="s">
        <x:v>21</x:v>
      </x:c>
    </x:row>
    <x:row r="16" ht="68" hidden="0" customHeight="1">
      <x:c r="A16" s="10" t="s">
        <x:v>295</x:v>
      </x:c>
      <x:c r="B16" s="12" t="s">
        <x:v>296</x:v>
      </x:c>
      <x:c r="C16" s="12" t="s">
        <x:v>297</x:v>
      </x:c>
      <x:c r="D16" s="12" t="s">
        <x:v>298</x:v>
      </x:c>
      <x:c r="E16" s="12" t="s">
        <x:v>299</x:v>
      </x:c>
      <x:c r="F16" s="12" t="s">
        <x:v>300</x:v>
      </x:c>
      <x:c r="G16" s="12" t="s">
        <x:v>301</x:v>
      </x:c>
      <x:c r="H16" s="12" t="s">
        <x:v>302</x:v>
      </x:c>
      <x:c r="I16" s="13" t="s">
        <x:v>21</x:v>
      </x:c>
    </x:row>
  </x:sheetData>
  <x:mergeCells>
    <x:mergeCell ref="A1:I1"/>
    <x:mergeCell ref="A2:I2"/>
  </x:mergeCells>
  <x:conditionalFormatting sqref="A5:I16">
    <x:cfRule type="expression" dxfId="10" priority="2" aboveAverage="0" percent="0" bottom="0" rank="0" equalAverage="0">
      <x:formula>MOD(ROW(),2)=1</x:formula>
    </x:cfRule>
  </x:conditionalFormatting>
  <x:conditionalFormatting sqref="I5:I16">
    <x:cfRule type="containsText" dxfId="11" priority="3" aboveAverage="0" percent="0" bottom="0" operator="containsText" text="Passed" rank="0" equalAverage="0">
      <x:formula>NOT(ISERROR(SEARCH("Passed",I5)))</x:formula>
    </x:cfRule>
    <x:cfRule type="containsText" dxfId="12" priority="4" aboveAverage="0" percent="0" bottom="0" operator="containsText" text="Blocked" rank="0" equalAverage="0">
      <x:formula>NOT(ISERROR(SEARCH("Blocked",I5)))</x:formula>
    </x:cfRule>
  </x:conditionalFormatting>
  <x:dataValidations count="1">
    <x:dataValidation type="list" errorStyle="stop" operator="between" allowBlank="0" showDropDown="0" showInputMessage="0" showErrorMessage="0" sqref="I5:I16">
      <x:formula1>"Open,In Progress,Passed,Blocked,Not Applicable"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11" hidden="0" customWidth="1"/>
    <x:col min="2" max="2" width="21" hidden="0" customWidth="1"/>
    <x:col min="3" max="3" width="52" hidden="0" customWidth="1"/>
    <x:col min="4" max="4" width="45" hidden="0" customWidth="1"/>
    <x:col min="5" max="5" width="29" hidden="0" customWidth="1"/>
    <x:col min="6" max="6" width="22" hidden="0" customWidth="1"/>
  </x:cols>
  <x:sheetData>
    <x:row r="1" ht="34" hidden="0" customHeight="1">
      <x:c r="A1" s="1" t="s">
        <x:v>303</x:v>
      </x:c>
      <x:c r="B1" s="1"/>
      <x:c r="C1" s="1"/>
      <x:c r="D1" s="1"/>
      <x:c r="E1" s="1"/>
      <x:c r="F1" s="1"/>
    </x:row>
    <x:row r="2" ht="27" hidden="0" customHeight="1">
      <x:c r="A2" s="2" t="s">
        <x:v>304</x:v>
      </x:c>
      <x:c r="B2" s="2"/>
      <x:c r="C2" s="2"/>
      <x:c r="D2" s="2"/>
      <x:c r="E2" s="2"/>
      <x:c r="F2" s="2"/>
    </x:row>
    <x:row r="4" ht="32" hidden="0" customHeight="1">
      <x:c r="A4" s="3" t="s">
        <x:v>305</x:v>
      </x:c>
      <x:c r="B4" s="3" t="s">
        <x:v>306</x:v>
      </x:c>
      <x:c r="C4" s="3" t="s">
        <x:v>307</x:v>
      </x:c>
      <x:c r="D4" s="3" t="s">
        <x:v>308</x:v>
      </x:c>
      <x:c r="E4" s="3" t="s">
        <x:v>309</x:v>
      </x:c>
      <x:c r="F4" s="3" t="s">
        <x:v>310</x:v>
      </x:c>
    </x:row>
    <x:row r="5" ht="55" hidden="0" customHeight="1">
      <x:c r="A5" s="4" t="s">
        <x:v>311</x:v>
      </x:c>
      <x:c r="B5" s="6" t="s">
        <x:v>312</x:v>
      </x:c>
      <x:c r="C5" s="6" t="s">
        <x:v>313</x:v>
      </x:c>
      <x:c r="D5" s="6" t="s">
        <x:v>314</x:v>
      </x:c>
      <x:c r="E5" s="6" t="s">
        <x:v>315</x:v>
      </x:c>
      <x:c r="F5" s="5" t="s">
        <x:v>316</x:v>
      </x:c>
    </x:row>
    <x:row r="6" ht="55" hidden="0" customHeight="1">
      <x:c r="A6" s="7" t="s">
        <x:v>317</x:v>
      </x:c>
      <x:c r="B6" s="9" t="s">
        <x:v>318</x:v>
      </x:c>
      <x:c r="C6" s="9" t="s">
        <x:v>319</x:v>
      </x:c>
      <x:c r="D6" s="9" t="s">
        <x:v>320</x:v>
      </x:c>
      <x:c r="E6" s="9" t="s">
        <x:v>321</x:v>
      </x:c>
      <x:c r="F6" s="8" t="s">
        <x:v>316</x:v>
      </x:c>
    </x:row>
    <x:row r="7" ht="55" hidden="0" customHeight="1">
      <x:c r="A7" s="7" t="s">
        <x:v>322</x:v>
      </x:c>
      <x:c r="B7" s="9" t="s">
        <x:v>323</x:v>
      </x:c>
      <x:c r="C7" s="9" t="s">
        <x:v>324</x:v>
      </x:c>
      <x:c r="D7" s="9" t="s">
        <x:v>325</x:v>
      </x:c>
      <x:c r="E7" s="9" t="s">
        <x:v>9</x:v>
      </x:c>
      <x:c r="F7" s="8" t="s">
        <x:v>316</x:v>
      </x:c>
    </x:row>
    <x:row r="8" ht="55" hidden="0" customHeight="1">
      <x:c r="A8" s="7" t="s">
        <x:v>326</x:v>
      </x:c>
      <x:c r="B8" s="9" t="s">
        <x:v>327</x:v>
      </x:c>
      <x:c r="C8" s="9" t="s">
        <x:v>328</x:v>
      </x:c>
      <x:c r="D8" s="9" t="s">
        <x:v>329</x:v>
      </x:c>
      <x:c r="E8" s="9" t="s">
        <x:v>321</x:v>
      </x:c>
      <x:c r="F8" s="8" t="s">
        <x:v>316</x:v>
      </x:c>
    </x:row>
    <x:row r="9" ht="55" hidden="0" customHeight="1">
      <x:c r="A9" s="7" t="s">
        <x:v>330</x:v>
      </x:c>
      <x:c r="B9" s="9" t="s">
        <x:v>35</x:v>
      </x:c>
      <x:c r="C9" s="9" t="s">
        <x:v>331</x:v>
      </x:c>
      <x:c r="D9" s="9" t="s">
        <x:v>332</x:v>
      </x:c>
      <x:c r="E9" s="9" t="s">
        <x:v>273</x:v>
      </x:c>
      <x:c r="F9" s="8" t="s">
        <x:v>316</x:v>
      </x:c>
    </x:row>
    <x:row r="10" ht="55" hidden="0" customHeight="1">
      <x:c r="A10" s="7" t="s">
        <x:v>333</x:v>
      </x:c>
      <x:c r="B10" s="9" t="s">
        <x:v>334</x:v>
      </x:c>
      <x:c r="C10" s="9" t="s">
        <x:v>335</x:v>
      </x:c>
      <x:c r="D10" s="9" t="s">
        <x:v>336</x:v>
      </x:c>
      <x:c r="E10" s="9" t="s">
        <x:v>16</x:v>
      </x:c>
      <x:c r="F10" s="8" t="s">
        <x:v>316</x:v>
      </x:c>
    </x:row>
    <x:row r="11" ht="55" hidden="0" customHeight="1">
      <x:c r="A11" s="7" t="s">
        <x:v>337</x:v>
      </x:c>
      <x:c r="B11" s="9" t="s">
        <x:v>338</x:v>
      </x:c>
      <x:c r="C11" s="9" t="s">
        <x:v>339</x:v>
      </x:c>
      <x:c r="D11" s="9" t="s">
        <x:v>340</x:v>
      </x:c>
      <x:c r="E11" s="9" t="s">
        <x:v>9</x:v>
      </x:c>
      <x:c r="F11" s="8" t="s">
        <x:v>316</x:v>
      </x:c>
    </x:row>
    <x:row r="12" ht="55" hidden="0" customHeight="1">
      <x:c r="A12" s="7" t="s">
        <x:v>341</x:v>
      </x:c>
      <x:c r="B12" s="9" t="s">
        <x:v>342</x:v>
      </x:c>
      <x:c r="C12" s="9" t="s">
        <x:v>343</x:v>
      </x:c>
      <x:c r="D12" s="9" t="s">
        <x:v>344</x:v>
      </x:c>
      <x:c r="E12" s="9" t="s">
        <x:v>345</x:v>
      </x:c>
      <x:c r="F12" s="8" t="s">
        <x:v>316</x:v>
      </x:c>
    </x:row>
    <x:row r="13" ht="55" hidden="0" customHeight="1">
      <x:c r="A13" s="7" t="s">
        <x:v>346</x:v>
      </x:c>
      <x:c r="B13" s="9" t="s">
        <x:v>347</x:v>
      </x:c>
      <x:c r="C13" s="9" t="s">
        <x:v>348</x:v>
      </x:c>
      <x:c r="D13" s="9" t="s">
        <x:v>349</x:v>
      </x:c>
      <x:c r="E13" s="9" t="s">
        <x:v>350</x:v>
      </x:c>
      <x:c r="F13" s="8" t="s">
        <x:v>351</x:v>
      </x:c>
    </x:row>
    <x:row r="14" ht="55" hidden="0" customHeight="1">
      <x:c r="A14" s="7" t="s">
        <x:v>352</x:v>
      </x:c>
      <x:c r="B14" s="9" t="s">
        <x:v>353</x:v>
      </x:c>
      <x:c r="C14" s="9" t="s">
        <x:v>354</x:v>
      </x:c>
      <x:c r="D14" s="9" t="s">
        <x:v>355</x:v>
      </x:c>
      <x:c r="E14" s="9" t="s">
        <x:v>345</x:v>
      </x:c>
      <x:c r="F14" s="8" t="s">
        <x:v>316</x:v>
      </x:c>
    </x:row>
    <x:row r="15" ht="55" hidden="0" customHeight="1">
      <x:c r="A15" s="7" t="s">
        <x:v>356</x:v>
      </x:c>
      <x:c r="B15" s="9" t="s">
        <x:v>357</x:v>
      </x:c>
      <x:c r="C15" s="9" t="s">
        <x:v>358</x:v>
      </x:c>
      <x:c r="D15" s="9" t="s">
        <x:v>359</x:v>
      </x:c>
      <x:c r="E15" s="9" t="s">
        <x:v>360</x:v>
      </x:c>
      <x:c r="F15" s="8" t="s">
        <x:v>351</x:v>
      </x:c>
    </x:row>
    <x:row r="16" ht="55" hidden="0" customHeight="1">
      <x:c r="A16" s="10" t="s">
        <x:v>361</x:v>
      </x:c>
      <x:c r="B16" s="12" t="s">
        <x:v>362</x:v>
      </x:c>
      <x:c r="C16" s="12" t="s">
        <x:v>363</x:v>
      </x:c>
      <x:c r="D16" s="12" t="s">
        <x:v>364</x:v>
      </x:c>
      <x:c r="E16" s="12" t="s">
        <x:v>9</x:v>
      </x:c>
      <x:c r="F16" s="13" t="s">
        <x:v>316</x:v>
      </x:c>
    </x:row>
  </x:sheetData>
  <x:mergeCells>
    <x:mergeCell ref="A1:F1"/>
    <x:mergeCell ref="A2:F2"/>
  </x:mergeCells>
  <x:conditionalFormatting sqref="A5:F16">
    <x:cfRule type="expression" dxfId="13" priority="2" aboveAverage="0" percent="0" bottom="0" rank="0" equalAverage="0">
      <x:formula>MOD(ROW(),2)=1</x:formula>
    </x:cfRule>
  </x:conditionalFormatting>
  <x:conditionalFormatting sqref="F5:F16">
    <x:cfRule type="containsText" dxfId="14" priority="3" aboveAverage="0" percent="0" bottom="0" operator="containsText" text="Locked" rank="0" equalAverage="0">
      <x:formula>NOT(ISERROR(SEARCH("Locked",F5)))</x:formula>
    </x:cfRule>
    <x:cfRule type="containsText" dxfId="15" priority="4" aboveAverage="0" percent="0" bottom="0" operator="containsText" text="Governance Approval" rank="0" equalAverage="0">
      <x:formula>NOT(ISERROR(SEARCH("Governance Approval",F5)))</x:formula>
    </x:cfRule>
  </x:conditionalFormatting>
  <x:dataValidations count="1">
    <x:dataValidation type="list" errorStyle="stop" operator="between" allowBlank="0" showDropDown="0" showInputMessage="0" showErrorMessage="0" sqref="F5:F16">
      <x:formula1>"Locked,Governance Approval,Open,Superseded"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34" hidden="0" customWidth="1"/>
    <x:col min="2" max="4" width="14" hidden="0" customWidth="1"/>
    <x:col min="5" max="5" width="24" hidden="0" customWidth="1"/>
    <x:col min="6" max="6" width="42" hidden="0" customWidth="1"/>
  </x:cols>
  <x:sheetData>
    <x:row r="1" ht="34" hidden="0" customHeight="1">
      <x:c r="A1" s="1" t="s">
        <x:v>365</x:v>
      </x:c>
      <x:c r="B1" s="1"/>
      <x:c r="C1" s="1"/>
      <x:c r="D1" s="1"/>
      <x:c r="E1" s="1"/>
      <x:c r="F1" s="1"/>
    </x:row>
    <x:row r="2" ht="27" hidden="0" customHeight="1">
      <x:c r="A2" s="2" t="s">
        <x:v>366</x:v>
      </x:c>
      <x:c r="B2" s="2"/>
      <x:c r="C2" s="2"/>
      <x:c r="D2" s="2"/>
      <x:c r="E2" s="2"/>
      <x:c r="F2" s="2"/>
    </x:row>
    <x:row r="4" ht="32" hidden="0" customHeight="1">
      <x:c r="A4" s="3" t="s">
        <x:v>367</x:v>
      </x:c>
      <x:c r="B4" s="3" t="s">
        <x:v>368</x:v>
      </x:c>
      <x:c r="C4" s="3" t="s">
        <x:v>369</x:v>
      </x:c>
      <x:c r="D4" s="3" t="s">
        <x:v>370</x:v>
      </x:c>
      <x:c r="E4" s="3" t="s">
        <x:v>5</x:v>
      </x:c>
      <x:c r="F4" s="3" t="s">
        <x:v>371</x:v>
      </x:c>
    </x:row>
    <x:row r="5" ht="32" hidden="0" customHeight="1">
      <x:c r="A5" s="4" t="s">
        <x:v>372</x:v>
      </x:c>
      <x:c r="B5" s="6" t="n">
        <x:v>16</x:v>
      </x:c>
      <x:c r="C5" s="6" t="n">
        <x:f aca="0">COUNTA('16-Week Map'!A5:A20)</x:f>
        <x:v>16</x:v>
      </x:c>
      <x:c r="D5" s="6" t="str">
        <x:f aca="0">IF(B5=C5,"PASS","CHECK")</x:f>
        <x:v>PASS</x:v>
      </x:c>
      <x:c r="E5" s="6" t="s">
        <x:v>9</x:v>
      </x:c>
      <x:c r="F5" s="5"/>
    </x:row>
    <x:row r="6" ht="32" hidden="0" customHeight="1">
      <x:c r="A6" s="7" t="s">
        <x:v>373</x:v>
      </x:c>
      <x:c r="B6" s="9" t="n">
        <x:v>6</x:v>
      </x:c>
      <x:c r="C6" s="9" t="n">
        <x:f aca="0">COUNTIF('Deliverable Register'!B5:B14,"Module Master")</x:f>
        <x:v>6</x:v>
      </x:c>
      <x:c r="D6" s="9" t="str">
        <x:f aca="0">IF(B6=C6,"PASS","CHECK")</x:f>
        <x:v>PASS</x:v>
      </x:c>
      <x:c r="E6" s="9" t="s">
        <x:v>9</x:v>
      </x:c>
      <x:c r="F6" s="8"/>
    </x:row>
    <x:row r="7" ht="32" hidden="0" customHeight="1">
      <x:c r="A7" s="7" t="s">
        <x:v>374</x:v>
      </x:c>
      <x:c r="B7" s="9" t="n">
        <x:v>16</x:v>
      </x:c>
      <x:c r="C7" s="9" t="n">
        <x:f aca="0"/>
        <x:v>16</x:v>
      </x:c>
      <x:c r="D7" s="9" t="str">
        <x:f aca="0"/>
        <x:v>PASS</x:v>
      </x:c>
      <x:c r="E7" s="9" t="s">
        <x:v>12</x:v>
      </x:c>
      <x:c r="F7" s="8"/>
    </x:row>
    <x:row r="8" ht="32" hidden="0" customHeight="1">
      <x:c r="A8" s="7" t="str">
        <x:v>Weeks requiring alignment review</x:v>
      </x:c>
      <x:c r="B8" s="9" t="n">
        <x:v>0</x:v>
      </x:c>
      <x:c r="C8" s="9" t="n">
        <x:f aca="0"/>
        <x:v>0</x:v>
      </x:c>
      <x:c r="D8" s="9" t="str">
        <x:f aca="0"/>
        <x:v>PASS</x:v>
      </x:c>
      <x:c r="E8" s="9" t="s">
        <x:v>9</x:v>
      </x:c>
      <x:c r="F8" s="8"/>
    </x:row>
    <x:row r="9" ht="32" hidden="0" customHeight="1">
      <x:c r="A9" s="7" t="s">
        <x:v>375</x:v>
      </x:c>
      <x:c r="B9" s="9" t="n">
        <x:v>10</x:v>
      </x:c>
      <x:c r="C9" s="9" t="n">
        <x:f aca="0"/>
        <x:v>10</x:v>
      </x:c>
      <x:c r="D9" s="9" t="str">
        <x:f aca="0"/>
        <x:v>PASS</x:v>
      </x:c>
      <x:c r="E9" s="9" t="s">
        <x:v>12</x:v>
      </x:c>
      <x:c r="F9" s="8"/>
    </x:row>
    <x:row r="10" ht="32" hidden="0" customHeight="1">
      <x:c r="A10" s="7" t="str">
        <x:v>Regenerated and verified deliverable records</x:v>
      </x:c>
      <x:c r="B10" s="9" t="n">
        <x:v>10</x:v>
      </x:c>
      <x:c r="C10" s="9" t="n">
        <x:f aca="0"/>
        <x:v>10</x:v>
      </x:c>
      <x:c r="D10" s="9" t="str">
        <x:f aca="0"/>
        <x:v>PASS</x:v>
      </x:c>
      <x:c r="E10" s="9" t="s">
        <x:v>12</x:v>
      </x:c>
      <x:c r="F10" s="8"/>
    </x:row>
    <x:row r="11" ht="32" hidden="0" customHeight="1">
      <x:c r="A11" s="7" t="s">
        <x:v>376</x:v>
      </x:c>
      <x:c r="B11" s="9" t="n">
        <x:v>12</x:v>
      </x:c>
      <x:c r="C11" s="9" t="n">
        <x:f aca="0">COUNTA('Developer Matrix'!A5:A16)</x:f>
        <x:v>12</x:v>
      </x:c>
      <x:c r="D11" s="9" t="str">
        <x:f aca="0">IF(B11=C11,"PASS","CHECK")</x:f>
        <x:v>PASS</x:v>
      </x:c>
      <x:c r="E11" s="9" t="s">
        <x:v>236</x:v>
      </x:c>
      <x:c r="F11" s="8"/>
    </x:row>
    <x:row r="12" ht="32" hidden="0" customHeight="1">
      <x:c r="A12" s="10" t="s">
        <x:v>377</x:v>
      </x:c>
      <x:c r="B12" s="12" t="n">
        <x:v>12</x:v>
      </x:c>
      <x:c r="C12" s="12" t="n">
        <x:f aca="0">COUNTA(Controls!A5:A16)</x:f>
        <x:v>12</x:v>
      </x:c>
      <x:c r="D12" s="12" t="str">
        <x:f aca="0">IF(B12=C12,"PASS","CHECK")</x:f>
        <x:v>PASS</x:v>
      </x:c>
      <x:c r="E12" s="12" t="s">
        <x:v>9</x:v>
      </x:c>
      <x:c r="F12" s="13"/>
    </x:row>
  </x:sheetData>
  <x:mergeCells>
    <x:mergeCell ref="A1:F1"/>
    <x:mergeCell ref="A2:F2"/>
  </x:mergeCells>
  <x:conditionalFormatting sqref="A5:F12">
    <x:cfRule type="expression" dxfId="16" priority="2" aboveAverage="0" percent="0" bottom="0" rank="0" equalAverage="0">
      <x:formula>MOD(ROW(),2)=1</x:formula>
    </x:cfRule>
  </x:conditionalFormatting>
  <x:conditionalFormatting sqref="D5:D12">
    <x:cfRule type="containsText" dxfId="17" priority="3" aboveAverage="0" percent="0" bottom="0" operator="containsText" text="PASS" rank="0" equalAverage="0">
      <x:formula>NOT(ISERROR(SEARCH("PASS",D5)))</x:formula>
    </x:cfRule>
    <x:cfRule type="containsText" dxfId="18" priority="4" aboveAverage="0" percent="0" bottom="0" operator="containsText" text="CHECK" rank="0" equalAverage="0">
      <x:formula>NOT(ISERROR(SEARCH("CHECK",D5)))</x:formula>
    </x:cfRule>
  </x:conditionalFormatting>
  <x:pageMargins left="0.7" right="0.7" top="0.75" bottom="0.75" header="0.3" footer="0.3"/>
</x:worksheet>
</file>